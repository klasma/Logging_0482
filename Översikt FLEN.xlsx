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46286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46286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46286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46286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46286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46286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46286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46286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46286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46286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46286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46286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46286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46286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46286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46286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46286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46286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46286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46286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46286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46286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46286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46286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46286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46286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22839-2025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46286</v>
      </c>
      <c r="F46" t="inlineStr">
        <is>
          <t>SÖDERMANLANDS LÄN</t>
        </is>
      </c>
      <c r="G46" t="inlineStr">
        <is>
          <t>FLEN</t>
        </is>
      </c>
      <c r="I46" t="n">
        <v>4.5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Blåsippa
Ekbräken
Missne</t>
        </is>
      </c>
      <c r="W46">
        <f>HYPERLINK("https://klasma.github.io/Logging_0482/artfynd/A 22839-2025 artfynd.xlsx", "A 22839-2025")</f>
        <v/>
      </c>
      <c r="X46">
        <f>HYPERLINK("https://klasma.github.io/Logging_0482/kartor/A 22839-2025 karta.png", "A 22839-2025")</f>
        <v/>
      </c>
      <c r="Y46">
        <f>HYPERLINK("https://klasma.github.io/Logging_0482/kartor_geotiff/A 22839-2025 georefererad karta.tif", "A 22839-2025")</f>
        <v/>
      </c>
      <c r="AA46">
        <f>HYPERLINK("https://klasma.github.io/Logging_0482/klagomål/A 22839-2025 FSC-klagomål.docx", "A 22839-2025")</f>
        <v/>
      </c>
      <c r="AB46">
        <f>HYPERLINK("https://klasma.github.io/Logging_0482/klagomålsmail/A 22839-2025 FSC-klagomål mail.docx", "A 22839-2025")</f>
        <v/>
      </c>
      <c r="AC46">
        <f>HYPERLINK("https://klasma.github.io/Logging_0482/tillsyn/A 22839-2025 tillsynsbegäran.docx", "A 22839-2025")</f>
        <v/>
      </c>
      <c r="AD46">
        <f>HYPERLINK("https://klasma.github.io/Logging_0482/tillsynsmail/A 22839-2025 tillsynsbegäran mail.docx", "A 22839-2025")</f>
        <v/>
      </c>
    </row>
    <row r="47" ht="15" customHeight="1">
      <c r="A47" t="inlineStr">
        <is>
          <t>A 50739-2025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45946</v>
      </c>
      <c r="E47" s="1" t="n">
        <v>46286</v>
      </c>
      <c r="F47" t="inlineStr">
        <is>
          <t>SÖDERMANLANDS LÄN</t>
        </is>
      </c>
      <c r="G47" t="inlineStr">
        <is>
          <t>FLEN</t>
        </is>
      </c>
      <c r="H47" t="inlineStr">
        <is>
          <t>Holmen skog AB</t>
        </is>
      </c>
      <c r="I47" t="n">
        <v>4.4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Skogsalm
Skogsbräsma
Svart trolldruva</t>
        </is>
      </c>
      <c r="W47">
        <f>HYPERLINK("https://klasma.github.io/Logging_0482/artfynd/A 50739-2025 artfynd.xlsx", "A 50739-2025")</f>
        <v/>
      </c>
      <c r="X47">
        <f>HYPERLINK("https://klasma.github.io/Logging_0482/kartor/A 50739-2025 karta.png", "A 50739-2025")</f>
        <v/>
      </c>
      <c r="Y47">
        <f>HYPERLINK("https://klasma.github.io/Logging_0482/kartor_geotiff/A 50739-2025 georefererad karta.tif", "A 50739-2025")</f>
        <v/>
      </c>
      <c r="AA47">
        <f>HYPERLINK("https://klasma.github.io/Logging_0482/klagomål/A 50739-2025 FSC-klagomål.docx", "A 50739-2025")</f>
        <v/>
      </c>
      <c r="AB47">
        <f>HYPERLINK("https://klasma.github.io/Logging_0482/klagomålsmail/A 50739-2025 FSC-klagomål mail.docx", "A 50739-2025")</f>
        <v/>
      </c>
      <c r="AC47">
        <f>HYPERLINK("https://klasma.github.io/Logging_0482/tillsyn/A 50739-2025 tillsynsbegäran.docx", "A 50739-2025")</f>
        <v/>
      </c>
      <c r="AD47">
        <f>HYPERLINK("https://klasma.github.io/Logging_0482/tillsynsmail/A 50739-2025 tillsynsbegäran mail.docx", "A 50739-2025")</f>
        <v/>
      </c>
    </row>
    <row r="48" ht="15" customHeight="1">
      <c r="A48" t="inlineStr">
        <is>
          <t>A 54302-2025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45965</v>
      </c>
      <c r="E48" s="1" t="n">
        <v>46286</v>
      </c>
      <c r="F48" t="inlineStr">
        <is>
          <t>SÖDERMANLANDS LÄN</t>
        </is>
      </c>
      <c r="G48" t="inlineStr">
        <is>
          <t>FLEN</t>
        </is>
      </c>
      <c r="I48" t="n">
        <v>12.6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2</v>
      </c>
      <c r="V48" s="2" t="inlineStr">
        <is>
          <t>Dofttaggsvamp
Svinrot
Mattlummer</t>
        </is>
      </c>
      <c r="W48">
        <f>HYPERLINK("https://klasma.github.io/Logging_0482/artfynd/A 54302-2025 artfynd.xlsx", "A 54302-2025")</f>
        <v/>
      </c>
      <c r="X48">
        <f>HYPERLINK("https://klasma.github.io/Logging_0482/kartor/A 54302-2025 karta.png", "A 54302-2025")</f>
        <v/>
      </c>
      <c r="Y48">
        <f>HYPERLINK("https://klasma.github.io/Logging_0482/kartor_geotiff/A 54302-2025 georefererad karta.tif", "A 54302-2025")</f>
        <v/>
      </c>
      <c r="AA48">
        <f>HYPERLINK("https://klasma.github.io/Logging_0482/klagomål/A 54302-2025 FSC-klagomål.docx", "A 54302-2025")</f>
        <v/>
      </c>
      <c r="AB48">
        <f>HYPERLINK("https://klasma.github.io/Logging_0482/klagomålsmail/A 54302-2025 FSC-klagomål mail.docx", "A 54302-2025")</f>
        <v/>
      </c>
      <c r="AC48">
        <f>HYPERLINK("https://klasma.github.io/Logging_0482/tillsyn/A 54302-2025 tillsynsbegäran.docx", "A 54302-2025")</f>
        <v/>
      </c>
      <c r="AD48">
        <f>HYPERLINK("https://klasma.github.io/Logging_0482/tillsynsmail/A 54302-2025 tillsynsbegäran mail.docx", "A 54302-2025")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46286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46286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46286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46286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46286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46286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46286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46286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46286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46286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Knärot
Grönpyrola
Revlummer</t>
        </is>
      </c>
      <c r="W58">
        <f>HYPERLINK("https://klasma.github.io/Logging_0482/artfynd/A 34985-2023 artfynd.xlsx", "A 34985-2023")</f>
        <v/>
      </c>
      <c r="X58">
        <f>HYPERLINK("https://klasma.github.io/Logging_0482/kartor/A 34985-2023 karta.png", "A 34985-2023")</f>
        <v/>
      </c>
      <c r="Y58">
        <f>HYPERLINK("https://klasma.github.io/Logging_0482/kartor_geotiff/A 34985-2023 georefererad karta.tif", "A 34985-2023")</f>
        <v/>
      </c>
      <c r="Z58">
        <f>HYPERLINK("https://klasma.github.io/Logging_0482/knärot/A 34985-2023 karta knärot.png", "A 34985-2023")</f>
        <v/>
      </c>
      <c r="AA58">
        <f>HYPERLINK("https://klasma.github.io/Logging_0482/klagomål/A 34985-2023 FSC-klagomål.docx", "A 34985-2023")</f>
        <v/>
      </c>
      <c r="AB58">
        <f>HYPERLINK("https://klasma.github.io/Logging_0482/klagomålsmail/A 34985-2023 FSC-klagomål mail.docx", "A 34985-2023")</f>
        <v/>
      </c>
      <c r="AC58">
        <f>HYPERLINK("https://klasma.github.io/Logging_0482/tillsyn/A 34985-2023 tillsynsbegäran.docx", "A 34985-2023")</f>
        <v/>
      </c>
      <c r="AD58">
        <f>HYPERLINK("https://klasma.github.io/Logging_0482/tillsynsmail/A 34985-2023 tillsynsbegäran mail.docx", "A 34985-2023")</f>
        <v/>
      </c>
    </row>
    <row r="59" ht="15" customHeight="1">
      <c r="A59" t="inlineStr">
        <is>
          <t>A 38465-2025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46286</v>
      </c>
      <c r="F59" t="inlineStr">
        <is>
          <t>SÖDERMANLANDS LÄN</t>
        </is>
      </c>
      <c r="G59" t="inlineStr">
        <is>
          <t>FLEN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Gullklöver
Nattviol</t>
        </is>
      </c>
      <c r="W59">
        <f>HYPERLINK("https://klasma.github.io/Logging_0482/artfynd/A 38465-2025 artfynd.xlsx", "A 38465-2025")</f>
        <v/>
      </c>
      <c r="X59">
        <f>HYPERLINK("https://klasma.github.io/Logging_0482/kartor/A 38465-2025 karta.png", "A 38465-2025")</f>
        <v/>
      </c>
      <c r="Y59">
        <f>HYPERLINK("https://klasma.github.io/Logging_0482/kartor_geotiff/A 38465-2025 georefererad karta.tif", "A 38465-2025")</f>
        <v/>
      </c>
      <c r="AA59">
        <f>HYPERLINK("https://klasma.github.io/Logging_0482/klagomål/A 38465-2025 FSC-klagomål.docx", "A 38465-2025")</f>
        <v/>
      </c>
      <c r="AB59">
        <f>HYPERLINK("https://klasma.github.io/Logging_0482/klagomålsmail/A 38465-2025 FSC-klagomål mail.docx", "A 38465-2025")</f>
        <v/>
      </c>
      <c r="AC59">
        <f>HYPERLINK("https://klasma.github.io/Logging_0482/tillsyn/A 38465-2025 tillsynsbegäran.docx", "A 38465-2025")</f>
        <v/>
      </c>
      <c r="AD59">
        <f>HYPERLINK("https://klasma.github.io/Logging_0482/tillsynsmail/A 38465-2025 tillsynsbegäran mail.docx", "A 38465-2025")</f>
        <v/>
      </c>
    </row>
    <row r="60" ht="15" customHeight="1">
      <c r="A60" t="inlineStr">
        <is>
          <t>A 38466-2025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46286</v>
      </c>
      <c r="F60" t="inlineStr">
        <is>
          <t>SÖDERMANLANDS LÄN</t>
        </is>
      </c>
      <c r="G60" t="inlineStr">
        <is>
          <t>FLEN</t>
        </is>
      </c>
      <c r="I60" t="n">
        <v>5.4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Svinrot
Blåsippa
Gullviva</t>
        </is>
      </c>
      <c r="W60">
        <f>HYPERLINK("https://klasma.github.io/Logging_0482/artfynd/A 38466-2025 artfynd.xlsx", "A 38466-2025")</f>
        <v/>
      </c>
      <c r="X60">
        <f>HYPERLINK("https://klasma.github.io/Logging_0482/kartor/A 38466-2025 karta.png", "A 38466-2025")</f>
        <v/>
      </c>
      <c r="Y60">
        <f>HYPERLINK("https://klasma.github.io/Logging_0482/kartor_geotiff/A 38466-2025 georefererad karta.tif", "A 38466-2025")</f>
        <v/>
      </c>
      <c r="AA60">
        <f>HYPERLINK("https://klasma.github.io/Logging_0482/klagomål/A 38466-2025 FSC-klagomål.docx", "A 38466-2025")</f>
        <v/>
      </c>
      <c r="AB60">
        <f>HYPERLINK("https://klasma.github.io/Logging_0482/klagomålsmail/A 38466-2025 FSC-klagomål mail.docx", "A 38466-2025")</f>
        <v/>
      </c>
      <c r="AC60">
        <f>HYPERLINK("https://klasma.github.io/Logging_0482/tillsyn/A 38466-2025 tillsynsbegäran.docx", "A 38466-2025")</f>
        <v/>
      </c>
      <c r="AD60">
        <f>HYPERLINK("https://klasma.github.io/Logging_0482/tillsynsmail/A 38466-2025 tillsynsbegäran mail.docx", "A 38466-2025")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46286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46286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46286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46286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46286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46286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52858-2023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46286</v>
      </c>
      <c r="F68" t="inlineStr">
        <is>
          <t>SÖDERMANLANDS LÄN</t>
        </is>
      </c>
      <c r="G68" t="inlineStr">
        <is>
          <t>FLEN</t>
        </is>
      </c>
      <c r="I68" t="n">
        <v>3.6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1</v>
      </c>
      <c r="V68" s="2" t="inlineStr">
        <is>
          <t>Mindre hackspett
Tallticka</t>
        </is>
      </c>
      <c r="W68">
        <f>HYPERLINK("https://klasma.github.io/Logging_0482/artfynd/A 52858-2023 artfynd.xlsx", "A 52858-2023")</f>
        <v/>
      </c>
      <c r="X68">
        <f>HYPERLINK("https://klasma.github.io/Logging_0482/kartor/A 52858-2023 karta.png", "A 52858-2023")</f>
        <v/>
      </c>
      <c r="Y68">
        <f>HYPERLINK("https://klasma.github.io/Logging_0482/kartor_geotiff/A 52858-2023 georefererad karta.tif", "A 52858-2023")</f>
        <v/>
      </c>
      <c r="AA68">
        <f>HYPERLINK("https://klasma.github.io/Logging_0482/klagomål/A 52858-2023 FSC-klagomål.docx", "A 52858-2023")</f>
        <v/>
      </c>
      <c r="AB68">
        <f>HYPERLINK("https://klasma.github.io/Logging_0482/klagomålsmail/A 52858-2023 FSC-klagomål mail.docx", "A 52858-2023")</f>
        <v/>
      </c>
      <c r="AC68">
        <f>HYPERLINK("https://klasma.github.io/Logging_0482/tillsyn/A 52858-2023 tillsynsbegäran.docx", "A 52858-2023")</f>
        <v/>
      </c>
      <c r="AD68">
        <f>HYPERLINK("https://klasma.github.io/Logging_0482/tillsynsmail/A 52858-2023 tillsynsbegäran mail.docx", "A 52858-2023")</f>
        <v/>
      </c>
      <c r="AE68">
        <f>HYPERLINK("https://klasma.github.io/Logging_0482/fåglar/A 52858-2023 prioriterade fågelarter.docx", "A 52858-2023")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46286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46286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46286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46286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Sälg
Huggorm</t>
        </is>
      </c>
      <c r="W72">
        <f>HYPERLINK("https://klasma.github.io/Logging_0482/artfynd/A 55092-2021 artfynd.xlsx", "A 55092-2021")</f>
        <v/>
      </c>
      <c r="X72">
        <f>HYPERLINK("https://klasma.github.io/Logging_0482/kartor/A 55092-2021 karta.png", "A 55092-2021")</f>
        <v/>
      </c>
      <c r="Y72">
        <f>HYPERLINK("https://klasma.github.io/Logging_0482/kartor_geotiff/A 55092-2021 georefererad karta.tif", "A 55092-2021")</f>
        <v/>
      </c>
      <c r="AA72">
        <f>HYPERLINK("https://klasma.github.io/Logging_0482/klagomål/A 55092-2021 FSC-klagomål.docx", "A 55092-2021")</f>
        <v/>
      </c>
      <c r="AB72">
        <f>HYPERLINK("https://klasma.github.io/Logging_0482/klagomålsmail/A 55092-2021 FSC-klagomål mail.docx", "A 55092-2021")</f>
        <v/>
      </c>
      <c r="AC72">
        <f>HYPERLINK("https://klasma.github.io/Logging_0482/tillsyn/A 55092-2021 tillsynsbegäran.docx", "A 55092-2021")</f>
        <v/>
      </c>
      <c r="AD72">
        <f>HYPERLINK("https://klasma.github.io/Logging_0482/tillsynsmail/A 55092-2021 tillsynsbegäran mail.docx", "A 55092-2021")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46286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46286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22511-2026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46155</v>
      </c>
      <c r="E75" s="1" t="n">
        <v>46286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Ormbär
Skriftlav</t>
        </is>
      </c>
      <c r="W75">
        <f>HYPERLINK("https://klasma.github.io/Logging_0482/artfynd/A 22511-2026 artfynd.xlsx", "A 22511-2026")</f>
        <v/>
      </c>
      <c r="X75">
        <f>HYPERLINK("https://klasma.github.io/Logging_0482/kartor/A 22511-2026 karta.png", "A 22511-2026")</f>
        <v/>
      </c>
      <c r="Y75">
        <f>HYPERLINK("https://klasma.github.io/Logging_0482/kartor_geotiff/A 22511-2026 georefererad karta.tif", "A 22511-2026")</f>
        <v/>
      </c>
      <c r="AA75">
        <f>HYPERLINK("https://klasma.github.io/Logging_0482/klagomål/A 22511-2026 FSC-klagomål.docx", "A 22511-2026")</f>
        <v/>
      </c>
      <c r="AB75">
        <f>HYPERLINK("https://klasma.github.io/Logging_0482/klagomålsmail/A 22511-2026 FSC-klagomål mail.docx", "A 22511-2026")</f>
        <v/>
      </c>
      <c r="AC75">
        <f>HYPERLINK("https://klasma.github.io/Logging_0482/tillsyn/A 22511-2026 tillsynsbegäran.docx", "A 22511-2026")</f>
        <v/>
      </c>
      <c r="AD75">
        <f>HYPERLINK("https://klasma.github.io/Logging_0482/tillsynsmail/A 22511-2026 tillsynsbegäran mail.docx", "A 22511-2026")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46286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46286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15557-2026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46286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Gullklöver
Svinrot</t>
        </is>
      </c>
      <c r="W78">
        <f>HYPERLINK("https://klasma.github.io/Logging_0482/artfynd/A 15557-2026 artfynd.xlsx", "A 15557-2026")</f>
        <v/>
      </c>
      <c r="X78">
        <f>HYPERLINK("https://klasma.github.io/Logging_0482/kartor/A 15557-2026 karta.png", "A 15557-2026")</f>
        <v/>
      </c>
      <c r="Y78">
        <f>HYPERLINK("https://klasma.github.io/Logging_0482/kartor_geotiff/A 15557-2026 georefererad karta.tif", "A 15557-2026")</f>
        <v/>
      </c>
      <c r="AA78">
        <f>HYPERLINK("https://klasma.github.io/Logging_0482/klagomål/A 15557-2026 FSC-klagomål.docx", "A 15557-2026")</f>
        <v/>
      </c>
      <c r="AB78">
        <f>HYPERLINK("https://klasma.github.io/Logging_0482/klagomålsmail/A 15557-2026 FSC-klagomål mail.docx", "A 15557-2026")</f>
        <v/>
      </c>
      <c r="AC78">
        <f>HYPERLINK("https://klasma.github.io/Logging_0482/tillsyn/A 15557-2026 tillsynsbegäran.docx", "A 15557-2026")</f>
        <v/>
      </c>
      <c r="AD78">
        <f>HYPERLINK("https://klasma.github.io/Logging_0482/tillsynsmail/A 15557-2026 tillsynsbegäran mail.docx", "A 15557-2026")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46286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59607-2022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46286</v>
      </c>
      <c r="F80" t="inlineStr">
        <is>
          <t>SÖDERMANLANDS LÄN</t>
        </is>
      </c>
      <c r="G80" t="inlineStr">
        <is>
          <t>FLEN</t>
        </is>
      </c>
      <c r="I80" t="n">
        <v>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Jungfrulin
Svinrot</t>
        </is>
      </c>
      <c r="W80">
        <f>HYPERLINK("https://klasma.github.io/Logging_0482/artfynd/A 59607-2022 artfynd.xlsx", "A 59607-2022")</f>
        <v/>
      </c>
      <c r="X80">
        <f>HYPERLINK("https://klasma.github.io/Logging_0482/kartor/A 59607-2022 karta.png", "A 59607-2022")</f>
        <v/>
      </c>
      <c r="Y80">
        <f>HYPERLINK("https://klasma.github.io/Logging_0482/kartor_geotiff/A 59607-2022 georefererad karta.tif", "A 59607-2022")</f>
        <v/>
      </c>
      <c r="AA80">
        <f>HYPERLINK("https://klasma.github.io/Logging_0482/klagomål/A 59607-2022 FSC-klagomål.docx", "A 59607-2022")</f>
        <v/>
      </c>
      <c r="AB80">
        <f>HYPERLINK("https://klasma.github.io/Logging_0482/klagomålsmail/A 59607-2022 FSC-klagomål mail.docx", "A 59607-2022")</f>
        <v/>
      </c>
      <c r="AC80">
        <f>HYPERLINK("https://klasma.github.io/Logging_0482/tillsyn/A 59607-2022 tillsynsbegäran.docx", "A 59607-2022")</f>
        <v/>
      </c>
      <c r="AD80">
        <f>HYPERLINK("https://klasma.github.io/Logging_0482/tillsynsmail/A 59607-2022 tillsynsbegäran mail.docx", "A 59607-2022")</f>
        <v/>
      </c>
    </row>
    <row r="81" ht="15" customHeight="1">
      <c r="A81" t="inlineStr">
        <is>
          <t>A 8887-2026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46068</v>
      </c>
      <c r="E81" s="1" t="n">
        <v>46286</v>
      </c>
      <c r="F81" t="inlineStr">
        <is>
          <t>SÖDERMANLANDS LÄN</t>
        </is>
      </c>
      <c r="G81" t="inlineStr">
        <is>
          <t>FLEN</t>
        </is>
      </c>
      <c r="I81" t="n">
        <v>2.1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Större vattensalamander
Mindre vattensalamander</t>
        </is>
      </c>
      <c r="W81">
        <f>HYPERLINK("https://klasma.github.io/Logging_0482/artfynd/A 8887-2026 artfynd.xlsx", "A 8887-2026")</f>
        <v/>
      </c>
      <c r="X81">
        <f>HYPERLINK("https://klasma.github.io/Logging_0482/kartor/A 8887-2026 karta.png", "A 8887-2026")</f>
        <v/>
      </c>
      <c r="Y81">
        <f>HYPERLINK("https://klasma.github.io/Logging_0482/kartor_geotiff/A 8887-2026 georefererad karta.tif", "A 8887-2026")</f>
        <v/>
      </c>
      <c r="AA81">
        <f>HYPERLINK("https://klasma.github.io/Logging_0482/klagomål/A 8887-2026 FSC-klagomål.docx", "A 8887-2026")</f>
        <v/>
      </c>
      <c r="AB81">
        <f>HYPERLINK("https://klasma.github.io/Logging_0482/klagomålsmail/A 8887-2026 FSC-klagomål mail.docx", "A 8887-2026")</f>
        <v/>
      </c>
      <c r="AC81">
        <f>HYPERLINK("https://klasma.github.io/Logging_0482/tillsyn/A 8887-2026 tillsynsbegäran.docx", "A 8887-2026")</f>
        <v/>
      </c>
      <c r="AD81">
        <f>HYPERLINK("https://klasma.github.io/Logging_0482/tillsynsmail/A 8887-2026 tillsynsbegäran mail.docx", "A 8887-2026")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46286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46286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46286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33107-2022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44785</v>
      </c>
      <c r="E85" s="1" t="n">
        <v>46286</v>
      </c>
      <c r="F85" t="inlineStr">
        <is>
          <t>SÖDERMANLANDS LÄN</t>
        </is>
      </c>
      <c r="G85" t="inlineStr">
        <is>
          <t>FLEN</t>
        </is>
      </c>
      <c r="I85" t="n">
        <v>5.9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Fjällig taggsvamp s.str.
Gullklöver</t>
        </is>
      </c>
      <c r="W85">
        <f>HYPERLINK("https://klasma.github.io/Logging_0482/artfynd/A 33107-2022 artfynd.xlsx", "A 33107-2022")</f>
        <v/>
      </c>
      <c r="X85">
        <f>HYPERLINK("https://klasma.github.io/Logging_0482/kartor/A 33107-2022 karta.png", "A 33107-2022")</f>
        <v/>
      </c>
      <c r="Y85">
        <f>HYPERLINK("https://klasma.github.io/Logging_0482/kartor_geotiff/A 33107-2022 georefererad karta.tif", "A 33107-2022")</f>
        <v/>
      </c>
      <c r="AA85">
        <f>HYPERLINK("https://klasma.github.io/Logging_0482/klagomål/A 33107-2022 FSC-klagomål.docx", "A 33107-2022")</f>
        <v/>
      </c>
      <c r="AB85">
        <f>HYPERLINK("https://klasma.github.io/Logging_0482/klagomålsmail/A 33107-2022 FSC-klagomål mail.docx", "A 33107-2022")</f>
        <v/>
      </c>
      <c r="AC85">
        <f>HYPERLINK("https://klasma.github.io/Logging_0482/tillsyn/A 33107-2022 tillsynsbegäran.docx", "A 33107-2022")</f>
        <v/>
      </c>
      <c r="AD85">
        <f>HYPERLINK("https://klasma.github.io/Logging_0482/tillsynsmail/A 33107-2022 tillsynsbegäran mail.docx", "A 33107-2022")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46286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46286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46286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46286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46286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46286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46286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46286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46286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46286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46286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46286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46286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52563-2021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46286</v>
      </c>
      <c r="F99" t="inlineStr">
        <is>
          <t>SÖDERMANLANDS LÄN</t>
        </is>
      </c>
      <c r="G99" t="inlineStr">
        <is>
          <t>FLEN</t>
        </is>
      </c>
      <c r="I99" t="n">
        <v>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HYPERLINK("https://klasma.github.io/Logging_0482/artfynd/A 52563-2021 artfynd.xlsx", "A 52563-2021")</f>
        <v/>
      </c>
      <c r="X99">
        <f>HYPERLINK("https://klasma.github.io/Logging_0482/kartor/A 52563-2021 karta.png", "A 52563-2021")</f>
        <v/>
      </c>
      <c r="Y99">
        <f>HYPERLINK("https://klasma.github.io/Logging_0482/kartor_geotiff/A 52563-2021 georefererad karta.tif", "A 52563-2021")</f>
        <v/>
      </c>
      <c r="AA99">
        <f>HYPERLINK("https://klasma.github.io/Logging_0482/klagomål/A 52563-2021 FSC-klagomål.docx", "A 52563-2021")</f>
        <v/>
      </c>
      <c r="AB99">
        <f>HYPERLINK("https://klasma.github.io/Logging_0482/klagomålsmail/A 52563-2021 FSC-klagomål mail.docx", "A 52563-2021")</f>
        <v/>
      </c>
      <c r="AC99">
        <f>HYPERLINK("https://klasma.github.io/Logging_0482/tillsyn/A 52563-2021 tillsynsbegäran.docx", "A 52563-2021")</f>
        <v/>
      </c>
      <c r="AD99">
        <f>HYPERLINK("https://klasma.github.io/Logging_0482/tillsynsmail/A 52563-2021 tillsynsbegäran mail.docx", "A 52563-2021")</f>
        <v/>
      </c>
      <c r="AE99">
        <f>HYPERLINK("https://klasma.github.io/Logging_0482/fåglar/A 52563-2021 prioriterade fågelarter.docx", "A 52563-2021")</f>
        <v/>
      </c>
    </row>
    <row r="100" ht="15" customHeight="1">
      <c r="A100" t="inlineStr">
        <is>
          <t>A 13858-2023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46286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Svedjenäva</t>
        </is>
      </c>
      <c r="W100">
        <f>HYPERLINK("https://klasma.github.io/Logging_0482/artfynd/A 13858-2023 artfynd.xlsx", "A 13858-2023")</f>
        <v/>
      </c>
      <c r="X100">
        <f>HYPERLINK("https://klasma.github.io/Logging_0482/kartor/A 13858-2023 karta.png", "A 13858-2023")</f>
        <v/>
      </c>
      <c r="Y100">
        <f>HYPERLINK("https://klasma.github.io/Logging_0482/kartor_geotiff/A 13858-2023 georefererad karta.tif", "A 13858-2023")</f>
        <v/>
      </c>
      <c r="AA100">
        <f>HYPERLINK("https://klasma.github.io/Logging_0482/klagomål/A 13858-2023 FSC-klagomål.docx", "A 13858-2023")</f>
        <v/>
      </c>
      <c r="AB100">
        <f>HYPERLINK("https://klasma.github.io/Logging_0482/klagomålsmail/A 13858-2023 FSC-klagomål mail.docx", "A 13858-2023")</f>
        <v/>
      </c>
      <c r="AC100">
        <f>HYPERLINK("https://klasma.github.io/Logging_0482/tillsyn/A 13858-2023 tillsynsbegäran.docx", "A 13858-2023")</f>
        <v/>
      </c>
      <c r="AD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37283-2024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46286</v>
      </c>
      <c r="F101" t="inlineStr">
        <is>
          <t>SÖDERMANLANDS LÄN</t>
        </is>
      </c>
      <c r="G101" t="inlineStr">
        <is>
          <t>FLEN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37283-2024 artfynd.xlsx", "A 37283-2024")</f>
        <v/>
      </c>
      <c r="X101">
        <f>HYPERLINK("https://klasma.github.io/Logging_0482/kartor/A 37283-2024 karta.png", "A 37283-2024")</f>
        <v/>
      </c>
      <c r="Y101">
        <f>HYPERLINK("https://klasma.github.io/Logging_0482/kartor_geotiff/A 37283-2024 georefererad karta.tif", "A 37283-2024")</f>
        <v/>
      </c>
      <c r="AA101">
        <f>HYPERLINK("https://klasma.github.io/Logging_0482/klagomål/A 37283-2024 FSC-klagomål.docx", "A 37283-2024")</f>
        <v/>
      </c>
      <c r="AB101">
        <f>HYPERLINK("https://klasma.github.io/Logging_0482/klagomålsmail/A 37283-2024 FSC-klagomål mail.docx", "A 37283-2024")</f>
        <v/>
      </c>
      <c r="AC101">
        <f>HYPERLINK("https://klasma.github.io/Logging_0482/tillsyn/A 37283-2024 tillsynsbegäran.docx", "A 37283-2024")</f>
        <v/>
      </c>
      <c r="AD101">
        <f>HYPERLINK("https://klasma.github.io/Logging_0482/tillsynsmail/A 37283-2024 tillsynsbegäran mail.docx", "A 37283-2024")</f>
        <v/>
      </c>
    </row>
    <row r="102" ht="15" customHeight="1">
      <c r="A102" t="inlineStr">
        <is>
          <t>A 31427-2022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44774</v>
      </c>
      <c r="E102" s="1" t="n">
        <v>46286</v>
      </c>
      <c r="F102" t="inlineStr">
        <is>
          <t>SÖDERMANLANDS LÄN</t>
        </is>
      </c>
      <c r="G102" t="inlineStr">
        <is>
          <t>FLEN</t>
        </is>
      </c>
      <c r="I102" t="n">
        <v>3.7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HYPERLINK("https://klasma.github.io/Logging_0482/artfynd/A 31427-2022 artfynd.xlsx", "A 31427-2022")</f>
        <v/>
      </c>
      <c r="X102">
        <f>HYPERLINK("https://klasma.github.io/Logging_0482/kartor/A 31427-2022 karta.png", "A 31427-2022")</f>
        <v/>
      </c>
      <c r="Y102">
        <f>HYPERLINK("https://klasma.github.io/Logging_0482/kartor_geotiff/A 31427-2022 georefererad karta.tif", "A 31427-2022")</f>
        <v/>
      </c>
      <c r="AA102">
        <f>HYPERLINK("https://klasma.github.io/Logging_0482/klagomål/A 31427-2022 FSC-klagomål.docx", "A 31427-2022")</f>
        <v/>
      </c>
      <c r="AB102">
        <f>HYPERLINK("https://klasma.github.io/Logging_0482/klagomålsmail/A 31427-2022 FSC-klagomål mail.docx", "A 31427-2022")</f>
        <v/>
      </c>
      <c r="AC102">
        <f>HYPERLINK("https://klasma.github.io/Logging_0482/tillsyn/A 31427-2022 tillsynsbegäran.docx", "A 31427-2022")</f>
        <v/>
      </c>
      <c r="AD102">
        <f>HYPERLINK("https://klasma.github.io/Logging_0482/tillsynsmail/A 31427-2022 tillsynsbegäran mail.docx", "A 31427-2022")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46286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14113-2025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46286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14113-2025 artfynd.xlsx", "A 14113-2025")</f>
        <v/>
      </c>
      <c r="X104">
        <f>HYPERLINK("https://klasma.github.io/Logging_0482/kartor/A 14113-2025 karta.png", "A 14113-2025")</f>
        <v/>
      </c>
      <c r="Y104">
        <f>HYPERLINK("https://klasma.github.io/Logging_0482/kartor_geotiff/A 14113-2025 georefererad karta.tif", "A 14113-2025")</f>
        <v/>
      </c>
      <c r="AA104">
        <f>HYPERLINK("https://klasma.github.io/Logging_0482/klagomål/A 14113-2025 FSC-klagomål.docx", "A 14113-2025")</f>
        <v/>
      </c>
      <c r="AB104">
        <f>HYPERLINK("https://klasma.github.io/Logging_0482/klagomålsmail/A 14113-2025 FSC-klagomål mail.docx", "A 14113-2025")</f>
        <v/>
      </c>
      <c r="AC104">
        <f>HYPERLINK("https://klasma.github.io/Logging_0482/tillsyn/A 14113-2025 tillsynsbegäran.docx", "A 14113-2025")</f>
        <v/>
      </c>
      <c r="AD104">
        <f>HYPERLINK("https://klasma.github.io/Logging_0482/tillsynsmail/A 14113-2025 tillsynsbegäran mail.docx", "A 14113-2025")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46286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38829-2025 artfynd.xlsx", "A 38829-2025")</f>
        <v/>
      </c>
      <c r="X105">
        <f>HYPERLINK("https://klasma.github.io/Logging_0482/kartor/A 38829-2025 karta.png", "A 38829-2025")</f>
        <v/>
      </c>
      <c r="Y105">
        <f>HYPERLINK("https://klasma.github.io/Logging_0482/kartor_geotiff/A 38829-2025 georefererad karta.tif", "A 38829-2025")</f>
        <v/>
      </c>
      <c r="AA105">
        <f>HYPERLINK("https://klasma.github.io/Logging_0482/klagomål/A 38829-2025 FSC-klagomål.docx", "A 38829-2025")</f>
        <v/>
      </c>
      <c r="AB105">
        <f>HYPERLINK("https://klasma.github.io/Logging_0482/klagomålsmail/A 38829-2025 FSC-klagomål mail.docx", "A 38829-2025")</f>
        <v/>
      </c>
      <c r="AC105">
        <f>HYPERLINK("https://klasma.github.io/Logging_0482/tillsyn/A 38829-2025 tillsynsbegäran.docx", "A 38829-2025")</f>
        <v/>
      </c>
      <c r="AD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6982-2024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46286</v>
      </c>
      <c r="F106" t="inlineStr">
        <is>
          <t>SÖDERMANLANDS LÄN</t>
        </is>
      </c>
      <c r="G106" t="inlineStr">
        <is>
          <t>FLEN</t>
        </is>
      </c>
      <c r="I106" t="n">
        <v>1.1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HYPERLINK("https://klasma.github.io/Logging_0482/artfynd/A 6982-2024 artfynd.xlsx", "A 6982-2024")</f>
        <v/>
      </c>
      <c r="X106">
        <f>HYPERLINK("https://klasma.github.io/Logging_0482/kartor/A 6982-2024 karta.png", "A 6982-2024")</f>
        <v/>
      </c>
      <c r="Y106">
        <f>HYPERLINK("https://klasma.github.io/Logging_0482/kartor_geotiff/A 6982-2024 georefererad karta.tif", "A 6982-2024")</f>
        <v/>
      </c>
      <c r="AA106">
        <f>HYPERLINK("https://klasma.github.io/Logging_0482/klagomål/A 6982-2024 FSC-klagomål.docx", "A 6982-2024")</f>
        <v/>
      </c>
      <c r="AB106">
        <f>HYPERLINK("https://klasma.github.io/Logging_0482/klagomålsmail/A 6982-2024 FSC-klagomål mail.docx", "A 6982-2024")</f>
        <v/>
      </c>
      <c r="AC106">
        <f>HYPERLINK("https://klasma.github.io/Logging_0482/tillsyn/A 6982-2024 tillsynsbegäran.docx", "A 6982-2024")</f>
        <v/>
      </c>
      <c r="AD106">
        <f>HYPERLINK("https://klasma.github.io/Logging_0482/tillsynsmail/A 6982-2024 tillsynsbegäran mail.docx", "A 6982-2024")</f>
        <v/>
      </c>
    </row>
    <row r="107" ht="15" customHeight="1">
      <c r="A107" t="inlineStr">
        <is>
          <t>A 43008-2023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46286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Gullklöver</t>
        </is>
      </c>
      <c r="W107">
        <f>HYPERLINK("https://klasma.github.io/Logging_0482/artfynd/A 43008-2023 artfynd.xlsx", "A 43008-2023")</f>
        <v/>
      </c>
      <c r="X107">
        <f>HYPERLINK("https://klasma.github.io/Logging_0482/kartor/A 43008-2023 karta.png", "A 43008-2023")</f>
        <v/>
      </c>
      <c r="Y107">
        <f>HYPERLINK("https://klasma.github.io/Logging_0482/kartor_geotiff/A 43008-2023 georefererad karta.tif", "A 43008-2023")</f>
        <v/>
      </c>
      <c r="AA107">
        <f>HYPERLINK("https://klasma.github.io/Logging_0482/klagomål/A 43008-2023 FSC-klagomål.docx", "A 43008-2023")</f>
        <v/>
      </c>
      <c r="AB107">
        <f>HYPERLINK("https://klasma.github.io/Logging_0482/klagomålsmail/A 43008-2023 FSC-klagomål mail.docx", "A 43008-2023")</f>
        <v/>
      </c>
      <c r="AC107">
        <f>HYPERLINK("https://klasma.github.io/Logging_0482/tillsyn/A 43008-2023 tillsynsbegäran.docx", "A 43008-2023")</f>
        <v/>
      </c>
      <c r="AD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46286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34721-2023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46286</v>
      </c>
      <c r="F109" t="inlineStr">
        <is>
          <t>SÖDERMANLANDS LÄN</t>
        </is>
      </c>
      <c r="G109" t="inlineStr">
        <is>
          <t>FLEN</t>
        </is>
      </c>
      <c r="I109" t="n">
        <v>4.1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34721-2023 artfynd.xlsx", "A 34721-2023")</f>
        <v/>
      </c>
      <c r="X109">
        <f>HYPERLINK("https://klasma.github.io/Logging_0482/kartor/A 34721-2023 karta.png", "A 34721-2023")</f>
        <v/>
      </c>
      <c r="Y109">
        <f>HYPERLINK("https://klasma.github.io/Logging_0482/kartor_geotiff/A 34721-2023 georefererad karta.tif", "A 34721-2023")</f>
        <v/>
      </c>
      <c r="AA109">
        <f>HYPERLINK("https://klasma.github.io/Logging_0482/klagomål/A 34721-2023 FSC-klagomål.docx", "A 34721-2023")</f>
        <v/>
      </c>
      <c r="AB109">
        <f>HYPERLINK("https://klasma.github.io/Logging_0482/klagomålsmail/A 34721-2023 FSC-klagomål mail.docx", "A 34721-2023")</f>
        <v/>
      </c>
      <c r="AC109">
        <f>HYPERLINK("https://klasma.github.io/Logging_0482/tillsyn/A 34721-2023 tillsynsbegäran.docx", "A 34721-2023")</f>
        <v/>
      </c>
      <c r="AD109">
        <f>HYPERLINK("https://klasma.github.io/Logging_0482/tillsynsmail/A 34721-2023 tillsynsbegäran mail.docx", "A 34721-2023")</f>
        <v/>
      </c>
    </row>
    <row r="110" ht="15" customHeight="1">
      <c r="A110" t="inlineStr">
        <is>
          <t>A 66230-2021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46286</v>
      </c>
      <c r="F110" t="inlineStr">
        <is>
          <t>SÖDERMANLANDS LÄN</t>
        </is>
      </c>
      <c r="G110" t="inlineStr">
        <is>
          <t>FLEN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66230-2021 artfynd.xlsx", "A 66230-2021")</f>
        <v/>
      </c>
      <c r="X110">
        <f>HYPERLINK("https://klasma.github.io/Logging_0482/kartor/A 66230-2021 karta.png", "A 66230-2021")</f>
        <v/>
      </c>
      <c r="Y110">
        <f>HYPERLINK("https://klasma.github.io/Logging_0482/kartor_geotiff/A 66230-2021 georefererad karta.tif", "A 66230-2021")</f>
        <v/>
      </c>
      <c r="AA110">
        <f>HYPERLINK("https://klasma.github.io/Logging_0482/klagomål/A 66230-2021 FSC-klagomål.docx", "A 66230-2021")</f>
        <v/>
      </c>
      <c r="AB110">
        <f>HYPERLINK("https://klasma.github.io/Logging_0482/klagomålsmail/A 66230-2021 FSC-klagomål mail.docx", "A 66230-2021")</f>
        <v/>
      </c>
      <c r="AC110">
        <f>HYPERLINK("https://klasma.github.io/Logging_0482/tillsyn/A 66230-2021 tillsynsbegäran.docx", "A 66230-2021")</f>
        <v/>
      </c>
      <c r="AD110">
        <f>HYPERLINK("https://klasma.github.io/Logging_0482/tillsynsmail/A 66230-2021 tillsynsbegäran mail.docx", "A 66230-2021")</f>
        <v/>
      </c>
    </row>
    <row r="111" ht="15" customHeight="1">
      <c r="A111" t="inlineStr">
        <is>
          <t>A 1242-2022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46286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1242-2022 artfynd.xlsx", "A 1242-2022")</f>
        <v/>
      </c>
      <c r="X111">
        <f>HYPERLINK("https://klasma.github.io/Logging_0482/kartor/A 1242-2022 karta.png", "A 1242-2022")</f>
        <v/>
      </c>
      <c r="Y111">
        <f>HYPERLINK("https://klasma.github.io/Logging_0482/kartor_geotiff/A 1242-2022 georefererad karta.tif", "A 1242-2022")</f>
        <v/>
      </c>
      <c r="AA111">
        <f>HYPERLINK("https://klasma.github.io/Logging_0482/klagomål/A 1242-2022 FSC-klagomål.docx", "A 1242-2022")</f>
        <v/>
      </c>
      <c r="AB111">
        <f>HYPERLINK("https://klasma.github.io/Logging_0482/klagomålsmail/A 1242-2022 FSC-klagomål mail.docx", "A 1242-2022")</f>
        <v/>
      </c>
      <c r="AC111">
        <f>HYPERLINK("https://klasma.github.io/Logging_0482/tillsyn/A 1242-2022 tillsynsbegäran.docx", "A 1242-2022")</f>
        <v/>
      </c>
      <c r="AD111">
        <f>HYPERLINK("https://klasma.github.io/Logging_0482/tillsynsmail/A 1242-2022 tillsynsbegäran mail.docx", "A 1242-2022")</f>
        <v/>
      </c>
    </row>
    <row r="112" ht="15" customHeight="1">
      <c r="A112" t="inlineStr">
        <is>
          <t>A 21704-2026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46286</v>
      </c>
      <c r="F112" t="inlineStr">
        <is>
          <t>SÖDERMANLANDS LÄN</t>
        </is>
      </c>
      <c r="G112" t="inlineStr">
        <is>
          <t>FLEN</t>
        </is>
      </c>
      <c r="I112" t="n">
        <v>10.2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Kandelabersvamp</t>
        </is>
      </c>
      <c r="W112">
        <f>HYPERLINK("https://klasma.github.io/Logging_0482/artfynd/A 21704-2026 artfynd.xlsx", "A 21704-2026")</f>
        <v/>
      </c>
      <c r="X112">
        <f>HYPERLINK("https://klasma.github.io/Logging_0482/kartor/A 21704-2026 karta.png", "A 21704-2026")</f>
        <v/>
      </c>
      <c r="Y112">
        <f>HYPERLINK("https://klasma.github.io/Logging_0482/kartor_geotiff/A 21704-2026 georefererad karta.tif", "A 21704-2026")</f>
        <v/>
      </c>
      <c r="AA112">
        <f>HYPERLINK("https://klasma.github.io/Logging_0482/klagomål/A 21704-2026 FSC-klagomål.docx", "A 21704-2026")</f>
        <v/>
      </c>
      <c r="AB112">
        <f>HYPERLINK("https://klasma.github.io/Logging_0482/klagomålsmail/A 21704-2026 FSC-klagomål mail.docx", "A 21704-2026")</f>
        <v/>
      </c>
      <c r="AC112">
        <f>HYPERLINK("https://klasma.github.io/Logging_0482/tillsyn/A 21704-2026 tillsynsbegäran.docx", "A 21704-2026")</f>
        <v/>
      </c>
      <c r="AD112">
        <f>HYPERLINK("https://klasma.github.io/Logging_0482/tillsynsmail/A 21704-2026 tillsynsbegäran mail.docx", "A 21704-2026")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46286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37317-2023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45156</v>
      </c>
      <c r="E114" s="1" t="n">
        <v>46286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Svavelriska</t>
        </is>
      </c>
      <c r="W114">
        <f>HYPERLINK("https://klasma.github.io/Logging_0482/artfynd/A 37317-2023 artfynd.xlsx", "A 37317-2023")</f>
        <v/>
      </c>
      <c r="X114">
        <f>HYPERLINK("https://klasma.github.io/Logging_0482/kartor/A 37317-2023 karta.png", "A 37317-2023")</f>
        <v/>
      </c>
      <c r="Y114">
        <f>HYPERLINK("https://klasma.github.io/Logging_0482/kartor_geotiff/A 37317-2023 georefererad karta.tif", "A 37317-2023")</f>
        <v/>
      </c>
      <c r="AA114">
        <f>HYPERLINK("https://klasma.github.io/Logging_0482/klagomål/A 37317-2023 FSC-klagomål.docx", "A 37317-2023")</f>
        <v/>
      </c>
      <c r="AB114">
        <f>HYPERLINK("https://klasma.github.io/Logging_0482/klagomålsmail/A 37317-2023 FSC-klagomål mail.docx", "A 37317-2023")</f>
        <v/>
      </c>
      <c r="AC114">
        <f>HYPERLINK("https://klasma.github.io/Logging_0482/tillsyn/A 37317-2023 tillsynsbegäran.docx", "A 37317-2023")</f>
        <v/>
      </c>
      <c r="AD114">
        <f>HYPERLINK("https://klasma.github.io/Logging_0482/tillsynsmail/A 37317-2023 tillsynsbegäran mail.docx", "A 37317-2023")</f>
        <v/>
      </c>
    </row>
    <row r="115" ht="15" customHeight="1">
      <c r="A115" t="inlineStr">
        <is>
          <t>A 52579-2025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46286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4.5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52579-2025 artfynd.xlsx", "A 52579-2025")</f>
        <v/>
      </c>
      <c r="X115">
        <f>HYPERLINK("https://klasma.github.io/Logging_0482/kartor/A 52579-2025 karta.png", "A 52579-2025")</f>
        <v/>
      </c>
      <c r="Y115">
        <f>HYPERLINK("https://klasma.github.io/Logging_0482/kartor_geotiff/A 52579-2025 georefererad karta.tif", "A 52579-2025")</f>
        <v/>
      </c>
      <c r="AA115">
        <f>HYPERLINK("https://klasma.github.io/Logging_0482/klagomål/A 52579-2025 FSC-klagomål.docx", "A 52579-2025")</f>
        <v/>
      </c>
      <c r="AB115">
        <f>HYPERLINK("https://klasma.github.io/Logging_0482/klagomålsmail/A 52579-2025 FSC-klagomål mail.docx", "A 52579-2025")</f>
        <v/>
      </c>
      <c r="AC115">
        <f>HYPERLINK("https://klasma.github.io/Logging_0482/tillsyn/A 52579-2025 tillsynsbegäran.docx", "A 52579-2025")</f>
        <v/>
      </c>
      <c r="AD115">
        <f>HYPERLINK("https://klasma.github.io/Logging_0482/tillsynsmail/A 52579-2025 tillsynsbegäran mail.docx", "A 52579-2025")</f>
        <v/>
      </c>
    </row>
    <row r="116" ht="15" customHeight="1">
      <c r="A116" t="inlineStr">
        <is>
          <t>A 60529-2024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46286</v>
      </c>
      <c r="F116" t="inlineStr">
        <is>
          <t>SÖDERMANLANDS LÄN</t>
        </is>
      </c>
      <c r="G116" t="inlineStr">
        <is>
          <t>FLEN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Skarp dropptaggsvamp</t>
        </is>
      </c>
      <c r="W116">
        <f>HYPERLINK("https://klasma.github.io/Logging_0482/artfynd/A 60529-2024 artfynd.xlsx", "A 60529-2024")</f>
        <v/>
      </c>
      <c r="X116">
        <f>HYPERLINK("https://klasma.github.io/Logging_0482/kartor/A 60529-2024 karta.png", "A 60529-2024")</f>
        <v/>
      </c>
      <c r="Y116">
        <f>HYPERLINK("https://klasma.github.io/Logging_0482/kartor_geotiff/A 60529-2024 georefererad karta.tif", "A 60529-2024")</f>
        <v/>
      </c>
      <c r="AA116">
        <f>HYPERLINK("https://klasma.github.io/Logging_0482/klagomål/A 60529-2024 FSC-klagomål.docx", "A 60529-2024")</f>
        <v/>
      </c>
      <c r="AB116">
        <f>HYPERLINK("https://klasma.github.io/Logging_0482/klagomålsmail/A 60529-2024 FSC-klagomål mail.docx", "A 60529-2024")</f>
        <v/>
      </c>
      <c r="AC116">
        <f>HYPERLINK("https://klasma.github.io/Logging_0482/tillsyn/A 60529-2024 tillsynsbegäran.docx", "A 60529-2024")</f>
        <v/>
      </c>
      <c r="AD116">
        <f>HYPERLINK("https://klasma.github.io/Logging_0482/tillsynsmail/A 60529-2024 tillsynsbegäran mail.docx", "A 60529-2024")</f>
        <v/>
      </c>
    </row>
    <row r="117" ht="15" customHeight="1">
      <c r="A117" t="inlineStr">
        <is>
          <t>A 53339-2023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46286</v>
      </c>
      <c r="F117" t="inlineStr">
        <is>
          <t>SÖDERMANLANDS LÄN</t>
        </is>
      </c>
      <c r="G117" t="inlineStr">
        <is>
          <t>FLEN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Blåsippa</t>
        </is>
      </c>
      <c r="W117">
        <f>HYPERLINK("https://klasma.github.io/Logging_0482/artfynd/A 53339-2023 artfynd.xlsx", "A 53339-2023")</f>
        <v/>
      </c>
      <c r="X117">
        <f>HYPERLINK("https://klasma.github.io/Logging_0482/kartor/A 53339-2023 karta.png", "A 53339-2023")</f>
        <v/>
      </c>
      <c r="Y117">
        <f>HYPERLINK("https://klasma.github.io/Logging_0482/kartor_geotiff/A 53339-2023 georefererad karta.tif", "A 53339-2023")</f>
        <v/>
      </c>
      <c r="AA117">
        <f>HYPERLINK("https://klasma.github.io/Logging_0482/klagomål/A 53339-2023 FSC-klagomål.docx", "A 53339-2023")</f>
        <v/>
      </c>
      <c r="AB117">
        <f>HYPERLINK("https://klasma.github.io/Logging_0482/klagomålsmail/A 53339-2023 FSC-klagomål mail.docx", "A 53339-2023")</f>
        <v/>
      </c>
      <c r="AC117">
        <f>HYPERLINK("https://klasma.github.io/Logging_0482/tillsyn/A 53339-2023 tillsynsbegäran.docx", "A 53339-2023")</f>
        <v/>
      </c>
      <c r="AD117">
        <f>HYPERLINK("https://klasma.github.io/Logging_0482/tillsynsmail/A 53339-2023 tillsynsbegäran mail.docx", "A 53339-2023")</f>
        <v/>
      </c>
    </row>
    <row r="118" ht="15" customHeight="1">
      <c r="A118" t="inlineStr">
        <is>
          <t>A 52546-2021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46286</v>
      </c>
      <c r="F118" t="inlineStr">
        <is>
          <t>SÖDERMANLANDS LÄN</t>
        </is>
      </c>
      <c r="G118" t="inlineStr">
        <is>
          <t>FLEN</t>
        </is>
      </c>
      <c r="I118" t="n">
        <v>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Mindre bastardsvärmare</t>
        </is>
      </c>
      <c r="W118">
        <f>HYPERLINK("https://klasma.github.io/Logging_0482/artfynd/A 52546-2021 artfynd.xlsx", "A 52546-2021")</f>
        <v/>
      </c>
      <c r="X118">
        <f>HYPERLINK("https://klasma.github.io/Logging_0482/kartor/A 52546-2021 karta.png", "A 52546-2021")</f>
        <v/>
      </c>
      <c r="Y118">
        <f>HYPERLINK("https://klasma.github.io/Logging_0482/kartor_geotiff/A 52546-2021 georefererad karta.tif", "A 52546-2021")</f>
        <v/>
      </c>
      <c r="AA118">
        <f>HYPERLINK("https://klasma.github.io/Logging_0482/klagomål/A 52546-2021 FSC-klagomål.docx", "A 52546-2021")</f>
        <v/>
      </c>
      <c r="AB118">
        <f>HYPERLINK("https://klasma.github.io/Logging_0482/klagomålsmail/A 52546-2021 FSC-klagomål mail.docx", "A 52546-2021")</f>
        <v/>
      </c>
      <c r="AC118">
        <f>HYPERLINK("https://klasma.github.io/Logging_0482/tillsyn/A 52546-2021 tillsynsbegäran.docx", "A 52546-2021")</f>
        <v/>
      </c>
      <c r="AD118">
        <f>HYPERLINK("https://klasma.github.io/Logging_0482/tillsynsmail/A 52546-2021 tillsynsbegäran mail.docx", "A 52546-2021")</f>
        <v/>
      </c>
    </row>
    <row r="119" ht="15" customHeight="1">
      <c r="A119" t="inlineStr">
        <is>
          <t>A 46987-2024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46286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Svinrot</t>
        </is>
      </c>
      <c r="W119">
        <f>HYPERLINK("https://klasma.github.io/Logging_0482/artfynd/A 46987-2024 artfynd.xlsx", "A 46987-2024")</f>
        <v/>
      </c>
      <c r="X119">
        <f>HYPERLINK("https://klasma.github.io/Logging_0482/kartor/A 46987-2024 karta.png", "A 46987-2024")</f>
        <v/>
      </c>
      <c r="Y119">
        <f>HYPERLINK("https://klasma.github.io/Logging_0482/kartor_geotiff/A 46987-2024 georefererad karta.tif", "A 46987-2024")</f>
        <v/>
      </c>
      <c r="AA119">
        <f>HYPERLINK("https://klasma.github.io/Logging_0482/klagomål/A 46987-2024 FSC-klagomål.docx", "A 46987-2024")</f>
        <v/>
      </c>
      <c r="AB119">
        <f>HYPERLINK("https://klasma.github.io/Logging_0482/klagomålsmail/A 46987-2024 FSC-klagomål mail.docx", "A 46987-2024")</f>
        <v/>
      </c>
      <c r="AC119">
        <f>HYPERLINK("https://klasma.github.io/Logging_0482/tillsyn/A 46987-2024 tillsynsbegäran.docx", "A 46987-2024")</f>
        <v/>
      </c>
      <c r="AD119">
        <f>HYPERLINK("https://klasma.github.io/Logging_0482/tillsynsmail/A 46987-2024 tillsynsbegäran mail.docx", "A 46987-2024")</f>
        <v/>
      </c>
    </row>
    <row r="120" ht="15" customHeight="1">
      <c r="A120" t="inlineStr">
        <is>
          <t>A 10770-2022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46286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10770-2022 artfynd.xlsx", "A 10770-2022")</f>
        <v/>
      </c>
      <c r="X120">
        <f>HYPERLINK("https://klasma.github.io/Logging_0482/kartor/A 10770-2022 karta.png", "A 10770-2022")</f>
        <v/>
      </c>
      <c r="Y120">
        <f>HYPERLINK("https://klasma.github.io/Logging_0482/kartor_geotiff/A 10770-2022 georefererad karta.tif", "A 10770-2022")</f>
        <v/>
      </c>
      <c r="AA120">
        <f>HYPERLINK("https://klasma.github.io/Logging_0482/klagomål/A 10770-2022 FSC-klagomål.docx", "A 10770-2022")</f>
        <v/>
      </c>
      <c r="AB120">
        <f>HYPERLINK("https://klasma.github.io/Logging_0482/klagomålsmail/A 10770-2022 FSC-klagomål mail.docx", "A 10770-2022")</f>
        <v/>
      </c>
      <c r="AC120">
        <f>HYPERLINK("https://klasma.github.io/Logging_0482/tillsyn/A 10770-2022 tillsynsbegäran.docx", "A 10770-2022")</f>
        <v/>
      </c>
      <c r="AD120">
        <f>HYPERLINK("https://klasma.github.io/Logging_0482/tillsynsmail/A 10770-2022 tillsynsbegäran mail.docx", "A 10770-2022")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46286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39036-2023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46286</v>
      </c>
      <c r="F122" t="inlineStr">
        <is>
          <t>SÖDERMANLANDS LÄN</t>
        </is>
      </c>
      <c r="G122" t="inlineStr">
        <is>
          <t>FLEN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HYPERLINK("https://klasma.github.io/Logging_0482/artfynd/A 39036-2023 artfynd.xlsx", "A 39036-2023")</f>
        <v/>
      </c>
      <c r="X122">
        <f>HYPERLINK("https://klasma.github.io/Logging_0482/kartor/A 39036-2023 karta.png", "A 39036-2023")</f>
        <v/>
      </c>
      <c r="Y122">
        <f>HYPERLINK("https://klasma.github.io/Logging_0482/kartor_geotiff/A 39036-2023 georefererad karta.tif", "A 39036-2023")</f>
        <v/>
      </c>
      <c r="AA122">
        <f>HYPERLINK("https://klasma.github.io/Logging_0482/klagomål/A 39036-2023 FSC-klagomål.docx", "A 39036-2023")</f>
        <v/>
      </c>
      <c r="AB122">
        <f>HYPERLINK("https://klasma.github.io/Logging_0482/klagomålsmail/A 39036-2023 FSC-klagomål mail.docx", "A 39036-2023")</f>
        <v/>
      </c>
      <c r="AC122">
        <f>HYPERLINK("https://klasma.github.io/Logging_0482/tillsyn/A 39036-2023 tillsynsbegäran.docx", "A 39036-2023")</f>
        <v/>
      </c>
      <c r="AD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46286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46286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2036-2026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46286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Knärot</t>
        </is>
      </c>
      <c r="W125">
        <f>HYPERLINK("https://klasma.github.io/Logging_0482/artfynd/A 2036-2026 artfynd.xlsx", "A 2036-2026")</f>
        <v/>
      </c>
      <c r="X125">
        <f>HYPERLINK("https://klasma.github.io/Logging_0482/kartor/A 2036-2026 karta.png", "A 2036-2026")</f>
        <v/>
      </c>
      <c r="Y125">
        <f>HYPERLINK("https://klasma.github.io/Logging_0482/kartor_geotiff/A 2036-2026 georefererad karta.tif", "A 2036-2026")</f>
        <v/>
      </c>
      <c r="Z125">
        <f>HYPERLINK("https://klasma.github.io/Logging_0482/knärot/A 2036-2026 karta knärot.png", "A 2036-2026")</f>
        <v/>
      </c>
      <c r="AA125">
        <f>HYPERLINK("https://klasma.github.io/Logging_0482/klagomål/A 2036-2026 FSC-klagomål.docx", "A 2036-2026")</f>
        <v/>
      </c>
      <c r="AB125">
        <f>HYPERLINK("https://klasma.github.io/Logging_0482/klagomålsmail/A 2036-2026 FSC-klagomål mail.docx", "A 2036-2026")</f>
        <v/>
      </c>
      <c r="AC125">
        <f>HYPERLINK("https://klasma.github.io/Logging_0482/tillsyn/A 2036-2026 tillsynsbegäran.docx", "A 2036-2026")</f>
        <v/>
      </c>
      <c r="AD125">
        <f>HYPERLINK("https://klasma.github.io/Logging_0482/tillsynsmail/A 2036-2026 tillsynsbegäran mail.docx", "A 2036-2026")</f>
        <v/>
      </c>
    </row>
    <row r="126" ht="15" customHeight="1">
      <c r="A126" t="inlineStr">
        <is>
          <t>A 60591-2022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46286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Grönpyrola</t>
        </is>
      </c>
      <c r="W126">
        <f>HYPERLINK("https://klasma.github.io/Logging_0482/artfynd/A 60591-2022 artfynd.xlsx", "A 60591-2022")</f>
        <v/>
      </c>
      <c r="X126">
        <f>HYPERLINK("https://klasma.github.io/Logging_0482/kartor/A 60591-2022 karta.png", "A 60591-2022")</f>
        <v/>
      </c>
      <c r="Y126">
        <f>HYPERLINK("https://klasma.github.io/Logging_0482/kartor_geotiff/A 60591-2022 georefererad karta.tif", "A 60591-2022")</f>
        <v/>
      </c>
      <c r="AA126">
        <f>HYPERLINK("https://klasma.github.io/Logging_0482/klagomål/A 60591-2022 FSC-klagomål.docx", "A 60591-2022")</f>
        <v/>
      </c>
      <c r="AB126">
        <f>HYPERLINK("https://klasma.github.io/Logging_0482/klagomålsmail/A 60591-2022 FSC-klagomål mail.docx", "A 60591-2022")</f>
        <v/>
      </c>
      <c r="AC126">
        <f>HYPERLINK("https://klasma.github.io/Logging_0482/tillsyn/A 60591-2022 tillsynsbegäran.docx", "A 60591-2022")</f>
        <v/>
      </c>
      <c r="AD126">
        <f>HYPERLINK("https://klasma.github.io/Logging_0482/tillsynsmail/A 60591-2022 tillsynsbegäran mail.docx", "A 60591-2022")</f>
        <v/>
      </c>
    </row>
    <row r="127" ht="15" customHeight="1">
      <c r="A127" t="inlineStr">
        <is>
          <t>A 4259-2023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46286</v>
      </c>
      <c r="F127" t="inlineStr">
        <is>
          <t>SÖDERMANLANDS LÄN</t>
        </is>
      </c>
      <c r="G127" t="inlineStr">
        <is>
          <t>FLEN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4259-2023 artfynd.xlsx", "A 4259-2023")</f>
        <v/>
      </c>
      <c r="X127">
        <f>HYPERLINK("https://klasma.github.io/Logging_0482/kartor/A 4259-2023 karta.png", "A 4259-2023")</f>
        <v/>
      </c>
      <c r="Y127">
        <f>HYPERLINK("https://klasma.github.io/Logging_0482/kartor_geotiff/A 4259-2023 georefererad karta.tif", "A 4259-2023")</f>
        <v/>
      </c>
      <c r="AA127">
        <f>HYPERLINK("https://klasma.github.io/Logging_0482/klagomål/A 4259-2023 FSC-klagomål.docx", "A 4259-2023")</f>
        <v/>
      </c>
      <c r="AB127">
        <f>HYPERLINK("https://klasma.github.io/Logging_0482/klagomålsmail/A 4259-2023 FSC-klagomål mail.docx", "A 4259-2023")</f>
        <v/>
      </c>
      <c r="AC127">
        <f>HYPERLINK("https://klasma.github.io/Logging_0482/tillsyn/A 4259-2023 tillsynsbegäran.docx", "A 4259-2023")</f>
        <v/>
      </c>
      <c r="AD127">
        <f>HYPERLINK("https://klasma.github.io/Logging_0482/tillsynsmail/A 4259-2023 tillsynsbegäran mail.docx", "A 4259-2023")</f>
        <v/>
      </c>
    </row>
    <row r="128" ht="15" customHeight="1">
      <c r="A128" t="inlineStr">
        <is>
          <t>A 26310-2026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46286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Spillkråka</t>
        </is>
      </c>
      <c r="W128">
        <f>HYPERLINK("https://klasma.github.io/Logging_0482/artfynd/A 26310-2026 artfynd.xlsx", "A 26310-2026")</f>
        <v/>
      </c>
      <c r="X128">
        <f>HYPERLINK("https://klasma.github.io/Logging_0482/kartor/A 26310-2026 karta.png", "A 26310-2026")</f>
        <v/>
      </c>
      <c r="Y128">
        <f>HYPERLINK("https://klasma.github.io/Logging_0482/kartor_geotiff/A 26310-2026 georefererad karta.tif", "A 26310-2026")</f>
        <v/>
      </c>
      <c r="AA128">
        <f>HYPERLINK("https://klasma.github.io/Logging_0482/klagomål/A 26310-2026 FSC-klagomål.docx", "A 26310-2026")</f>
        <v/>
      </c>
      <c r="AB128">
        <f>HYPERLINK("https://klasma.github.io/Logging_0482/klagomålsmail/A 26310-2026 FSC-klagomål mail.docx", "A 26310-2026")</f>
        <v/>
      </c>
      <c r="AC128">
        <f>HYPERLINK("https://klasma.github.io/Logging_0482/tillsyn/A 26310-2026 tillsynsbegäran.docx", "A 26310-2026")</f>
        <v/>
      </c>
      <c r="AD128">
        <f>HYPERLINK("https://klasma.github.io/Logging_0482/tillsynsmail/A 26310-2026 tillsynsbegäran mail.docx", "A 26310-2026")</f>
        <v/>
      </c>
      <c r="AE128">
        <f>HYPERLINK("https://klasma.github.io/Logging_0482/fåglar/A 26310-2026 prioriterade fågelarter.docx", "A 26310-2026")</f>
        <v/>
      </c>
    </row>
    <row r="129" ht="15" customHeight="1">
      <c r="A129" t="inlineStr">
        <is>
          <t>A 6714-2026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46286</v>
      </c>
      <c r="F129" t="inlineStr">
        <is>
          <t>SÖDERMANLANDS LÄN</t>
        </is>
      </c>
      <c r="G129" t="inlineStr">
        <is>
          <t>FLEN</t>
        </is>
      </c>
      <c r="I129" t="n">
        <v>4.6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6714-2026 artfynd.xlsx", "A 6714-2026")</f>
        <v/>
      </c>
      <c r="X129">
        <f>HYPERLINK("https://klasma.github.io/Logging_0482/kartor/A 6714-2026 karta.png", "A 6714-2026")</f>
        <v/>
      </c>
      <c r="Y129">
        <f>HYPERLINK("https://klasma.github.io/Logging_0482/kartor_geotiff/A 6714-2026 georefererad karta.tif", "A 6714-2026")</f>
        <v/>
      </c>
      <c r="AA129">
        <f>HYPERLINK("https://klasma.github.io/Logging_0482/klagomål/A 6714-2026 FSC-klagomål.docx", "A 6714-2026")</f>
        <v/>
      </c>
      <c r="AB129">
        <f>HYPERLINK("https://klasma.github.io/Logging_0482/klagomålsmail/A 6714-2026 FSC-klagomål mail.docx", "A 6714-2026")</f>
        <v/>
      </c>
      <c r="AC129">
        <f>HYPERLINK("https://klasma.github.io/Logging_0482/tillsyn/A 6714-2026 tillsynsbegäran.docx", "A 6714-2026")</f>
        <v/>
      </c>
      <c r="AD129">
        <f>HYPERLINK("https://klasma.github.io/Logging_0482/tillsynsmail/A 6714-2026 tillsynsbegäran mail.docx", "A 6714-2026")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46286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29195-2023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46286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3.9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HYPERLINK("https://klasma.github.io/Logging_0482/artfynd/A 29195-2023 artfynd.xlsx", "A 29195-2023")</f>
        <v/>
      </c>
      <c r="X131">
        <f>HYPERLINK("https://klasma.github.io/Logging_0482/kartor/A 29195-2023 karta.png", "A 29195-2023")</f>
        <v/>
      </c>
      <c r="Y131">
        <f>HYPERLINK("https://klasma.github.io/Logging_0482/kartor_geotiff/A 29195-2023 georefererad karta.tif", "A 29195-2023")</f>
        <v/>
      </c>
      <c r="AA131">
        <f>HYPERLINK("https://klasma.github.io/Logging_0482/klagomål/A 29195-2023 FSC-klagomål.docx", "A 29195-2023")</f>
        <v/>
      </c>
      <c r="AB131">
        <f>HYPERLINK("https://klasma.github.io/Logging_0482/klagomålsmail/A 29195-2023 FSC-klagomål mail.docx", "A 29195-2023")</f>
        <v/>
      </c>
      <c r="AC131">
        <f>HYPERLINK("https://klasma.github.io/Logging_0482/tillsyn/A 29195-2023 tillsynsbegäran.docx", "A 29195-2023")</f>
        <v/>
      </c>
      <c r="AD131">
        <f>HYPERLINK("https://klasma.github.io/Logging_0482/tillsynsmail/A 29195-2023 tillsynsbegäran mail.docx", "A 29195-2023")</f>
        <v/>
      </c>
    </row>
    <row r="132" ht="15" customHeight="1">
      <c r="A132" t="inlineStr">
        <is>
          <t>A 26052-2026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46286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Revlummer</t>
        </is>
      </c>
      <c r="W132">
        <f>HYPERLINK("https://klasma.github.io/Logging_0482/artfynd/A 26052-2026 artfynd.xlsx", "A 26052-2026")</f>
        <v/>
      </c>
      <c r="X132">
        <f>HYPERLINK("https://klasma.github.io/Logging_0482/kartor/A 26052-2026 karta.png", "A 26052-2026")</f>
        <v/>
      </c>
      <c r="Y132">
        <f>HYPERLINK("https://klasma.github.io/Logging_0482/kartor_geotiff/A 26052-2026 georefererad karta.tif", "A 26052-2026")</f>
        <v/>
      </c>
      <c r="AA132">
        <f>HYPERLINK("https://klasma.github.io/Logging_0482/klagomål/A 26052-2026 FSC-klagomål.docx", "A 26052-2026")</f>
        <v/>
      </c>
      <c r="AB132">
        <f>HYPERLINK("https://klasma.github.io/Logging_0482/klagomålsmail/A 26052-2026 FSC-klagomål mail.docx", "A 26052-2026")</f>
        <v/>
      </c>
      <c r="AC132">
        <f>HYPERLINK("https://klasma.github.io/Logging_0482/tillsyn/A 26052-2026 tillsynsbegäran.docx", "A 26052-2026")</f>
        <v/>
      </c>
      <c r="AD132">
        <f>HYPERLINK("https://klasma.github.io/Logging_0482/tillsynsmail/A 26052-2026 tillsynsbegäran mail.docx", "A 26052-2026")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46286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10999-2026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46286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Blåsippa</t>
        </is>
      </c>
      <c r="W134">
        <f>HYPERLINK("https://klasma.github.io/Logging_0482/artfynd/A 10999-2026 artfynd.xlsx", "A 10999-2026")</f>
        <v/>
      </c>
      <c r="X134">
        <f>HYPERLINK("https://klasma.github.io/Logging_0482/kartor/A 10999-2026 karta.png", "A 10999-2026")</f>
        <v/>
      </c>
      <c r="Y134">
        <f>HYPERLINK("https://klasma.github.io/Logging_0482/kartor_geotiff/A 10999-2026 georefererad karta.tif", "A 10999-2026")</f>
        <v/>
      </c>
      <c r="AA134">
        <f>HYPERLINK("https://klasma.github.io/Logging_0482/klagomål/A 10999-2026 FSC-klagomål.docx", "A 10999-2026")</f>
        <v/>
      </c>
      <c r="AB134">
        <f>HYPERLINK("https://klasma.github.io/Logging_0482/klagomålsmail/A 10999-2026 FSC-klagomål mail.docx", "A 10999-2026")</f>
        <v/>
      </c>
      <c r="AC134">
        <f>HYPERLINK("https://klasma.github.io/Logging_0482/tillsyn/A 10999-2026 tillsynsbegäran.docx", "A 10999-2026")</f>
        <v/>
      </c>
      <c r="AD134">
        <f>HYPERLINK("https://klasma.github.io/Logging_0482/tillsynsmail/A 10999-2026 tillsynsbegäran mail.docx", "A 10999-2026")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46286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46286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46286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12056-2024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46286</v>
      </c>
      <c r="F138" t="inlineStr">
        <is>
          <t>SÖDERMANLANDS LÄN</t>
        </is>
      </c>
      <c r="G138" t="inlineStr">
        <is>
          <t>FLEN</t>
        </is>
      </c>
      <c r="I138" t="n">
        <v>8.4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Fjällig taggsvamp s.str.</t>
        </is>
      </c>
      <c r="W138">
        <f>HYPERLINK("https://klasma.github.io/Logging_0482/artfynd/A 12056-2024 artfynd.xlsx", "A 12056-2024")</f>
        <v/>
      </c>
      <c r="X138">
        <f>HYPERLINK("https://klasma.github.io/Logging_0482/kartor/A 12056-2024 karta.png", "A 12056-2024")</f>
        <v/>
      </c>
      <c r="Y138">
        <f>HYPERLINK("https://klasma.github.io/Logging_0482/kartor_geotiff/A 12056-2024 georefererad karta.tif", "A 12056-2024")</f>
        <v/>
      </c>
      <c r="AA138">
        <f>HYPERLINK("https://klasma.github.io/Logging_0482/klagomål/A 12056-2024 FSC-klagomål.docx", "A 12056-2024")</f>
        <v/>
      </c>
      <c r="AB138">
        <f>HYPERLINK("https://klasma.github.io/Logging_0482/klagomålsmail/A 12056-2024 FSC-klagomål mail.docx", "A 12056-2024")</f>
        <v/>
      </c>
      <c r="AC138">
        <f>HYPERLINK("https://klasma.github.io/Logging_0482/tillsyn/A 12056-2024 tillsynsbegäran.docx", "A 12056-2024")</f>
        <v/>
      </c>
      <c r="AD138">
        <f>HYPERLINK("https://klasma.github.io/Logging_0482/tillsynsmail/A 12056-2024 tillsynsbegäran mail.docx", "A 12056-2024")</f>
        <v/>
      </c>
    </row>
    <row r="139" ht="15" customHeight="1">
      <c r="A139" t="inlineStr">
        <is>
          <t>A 47756-2022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46286</v>
      </c>
      <c r="F139" t="inlineStr">
        <is>
          <t>SÖDERMANLANDS LÄN</t>
        </is>
      </c>
      <c r="G139" t="inlineStr">
        <is>
          <t>FLEN</t>
        </is>
      </c>
      <c r="I139" t="n">
        <v>2.4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Svinrot</t>
        </is>
      </c>
      <c r="W139">
        <f>HYPERLINK("https://klasma.github.io/Logging_0482/artfynd/A 47756-2022 artfynd.xlsx", "A 47756-2022")</f>
        <v/>
      </c>
      <c r="X139">
        <f>HYPERLINK("https://klasma.github.io/Logging_0482/kartor/A 47756-2022 karta.png", "A 47756-2022")</f>
        <v/>
      </c>
      <c r="Y139">
        <f>HYPERLINK("https://klasma.github.io/Logging_0482/kartor_geotiff/A 47756-2022 georefererad karta.tif", "A 47756-2022")</f>
        <v/>
      </c>
      <c r="AA139">
        <f>HYPERLINK("https://klasma.github.io/Logging_0482/klagomål/A 47756-2022 FSC-klagomål.docx", "A 47756-2022")</f>
        <v/>
      </c>
      <c r="AB139">
        <f>HYPERLINK("https://klasma.github.io/Logging_0482/klagomålsmail/A 47756-2022 FSC-klagomål mail.docx", "A 47756-2022")</f>
        <v/>
      </c>
      <c r="AC139">
        <f>HYPERLINK("https://klasma.github.io/Logging_0482/tillsyn/A 47756-2022 tillsynsbegäran.docx", "A 47756-2022")</f>
        <v/>
      </c>
      <c r="AD139">
        <f>HYPERLINK("https://klasma.github.io/Logging_0482/tillsynsmail/A 47756-2022 tillsynsbegäran mail.docx", "A 47756-2022")</f>
        <v/>
      </c>
    </row>
    <row r="140" ht="15" customHeight="1">
      <c r="A140" t="inlineStr">
        <is>
          <t>A 62535-2021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46286</v>
      </c>
      <c r="F140" t="inlineStr">
        <is>
          <t>SÖDERMANLANDS LÄN</t>
        </is>
      </c>
      <c r="G140" t="inlineStr">
        <is>
          <t>FLEN</t>
        </is>
      </c>
      <c r="I140" t="n">
        <v>0.6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62535-2021 artfynd.xlsx", "A 62535-2021")</f>
        <v/>
      </c>
      <c r="X140">
        <f>HYPERLINK("https://klasma.github.io/Logging_0482/kartor/A 62535-2021 karta.png", "A 62535-2021")</f>
        <v/>
      </c>
      <c r="Y140">
        <f>HYPERLINK("https://klasma.github.io/Logging_0482/kartor_geotiff/A 62535-2021 georefererad karta.tif", "A 62535-2021")</f>
        <v/>
      </c>
      <c r="AA140">
        <f>HYPERLINK("https://klasma.github.io/Logging_0482/klagomål/A 62535-2021 FSC-klagomål.docx", "A 62535-2021")</f>
        <v/>
      </c>
      <c r="AB140">
        <f>HYPERLINK("https://klasma.github.io/Logging_0482/klagomålsmail/A 62535-2021 FSC-klagomål mail.docx", "A 62535-2021")</f>
        <v/>
      </c>
      <c r="AC140">
        <f>HYPERLINK("https://klasma.github.io/Logging_0482/tillsyn/A 62535-2021 tillsynsbegäran.docx", "A 62535-2021")</f>
        <v/>
      </c>
      <c r="AD140">
        <f>HYPERLINK("https://klasma.github.io/Logging_0482/tillsynsmail/A 62535-2021 tillsynsbegäran mail.docx", "A 62535-2021")</f>
        <v/>
      </c>
    </row>
    <row r="141" ht="15" customHeight="1">
      <c r="A141" t="inlineStr">
        <is>
          <t>A 14273-2025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46286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Vedskivlav</t>
        </is>
      </c>
      <c r="W141">
        <f>HYPERLINK("https://klasma.github.io/Logging_0482/artfynd/A 14273-2025 artfynd.xlsx", "A 14273-2025")</f>
        <v/>
      </c>
      <c r="X141">
        <f>HYPERLINK("https://klasma.github.io/Logging_0482/kartor/A 14273-2025 karta.png", "A 14273-2025")</f>
        <v/>
      </c>
      <c r="Y141">
        <f>HYPERLINK("https://klasma.github.io/Logging_0482/kartor_geotiff/A 14273-2025 georefererad karta.tif", "A 14273-2025")</f>
        <v/>
      </c>
      <c r="AA141">
        <f>HYPERLINK("https://klasma.github.io/Logging_0482/klagomål/A 14273-2025 FSC-klagomål.docx", "A 14273-2025")</f>
        <v/>
      </c>
      <c r="AB141">
        <f>HYPERLINK("https://klasma.github.io/Logging_0482/klagomålsmail/A 14273-2025 FSC-klagomål mail.docx", "A 14273-2025")</f>
        <v/>
      </c>
      <c r="AC141">
        <f>HYPERLINK("https://klasma.github.io/Logging_0482/tillsyn/A 14273-2025 tillsynsbegäran.docx", "A 14273-2025")</f>
        <v/>
      </c>
      <c r="AD141">
        <f>HYPERLINK("https://klasma.github.io/Logging_0482/tillsynsmail/A 14273-2025 tillsynsbegäran mail.docx", "A 14273-2025")</f>
        <v/>
      </c>
    </row>
    <row r="142" ht="15" customHeight="1">
      <c r="A142" t="inlineStr">
        <is>
          <t>A 30406-2026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46209</v>
      </c>
      <c r="E142" s="1" t="n">
        <v>46286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HYPERLINK("https://klasma.github.io/Logging_0482/artfynd/A 30406-2026 artfynd.xlsx", "A 30406-2026")</f>
        <v/>
      </c>
      <c r="X142">
        <f>HYPERLINK("https://klasma.github.io/Logging_0482/kartor/A 30406-2026 karta.png", "A 30406-2026")</f>
        <v/>
      </c>
      <c r="Y142">
        <f>HYPERLINK("https://klasma.github.io/Logging_0482/kartor_geotiff/A 30406-2026 georefererad karta.tif", "A 30406-2026")</f>
        <v/>
      </c>
      <c r="AA142">
        <f>HYPERLINK("https://klasma.github.io/Logging_0482/klagomål/A 30406-2026 FSC-klagomål.docx", "A 30406-2026")</f>
        <v/>
      </c>
      <c r="AB142">
        <f>HYPERLINK("https://klasma.github.io/Logging_0482/klagomålsmail/A 30406-2026 FSC-klagomål mail.docx", "A 30406-2026")</f>
        <v/>
      </c>
      <c r="AC142">
        <f>HYPERLINK("https://klasma.github.io/Logging_0482/tillsyn/A 30406-2026 tillsynsbegäran.docx", "A 30406-2026")</f>
        <v/>
      </c>
      <c r="AD142">
        <f>HYPERLINK("https://klasma.github.io/Logging_0482/tillsynsmail/A 30406-2026 tillsynsbegäran mail.docx", "A 30406-2026")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46286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46286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46286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46286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46286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46286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46286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44458</v>
      </c>
      <c r="E150" s="1" t="n">
        <v>46286</v>
      </c>
      <c r="F150" t="inlineStr">
        <is>
          <t>SÖDERMANLANDS LÄN</t>
        </is>
      </c>
      <c r="G150" t="inlineStr">
        <is>
          <t>FLEN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46286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44535</v>
      </c>
      <c r="E152" s="1" t="n">
        <v>46286</v>
      </c>
      <c r="F152" t="inlineStr">
        <is>
          <t>SÖDERMANLANDS LÄN</t>
        </is>
      </c>
      <c r="G152" t="inlineStr">
        <is>
          <t>FLEN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46286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46286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46286</v>
      </c>
      <c r="F155" t="inlineStr">
        <is>
          <t>SÖDERMANLANDS LÄN</t>
        </is>
      </c>
      <c r="G155" t="inlineStr">
        <is>
          <t>FLEN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46286</v>
      </c>
      <c r="F156" t="inlineStr">
        <is>
          <t>SÖDERMANLANDS LÄN</t>
        </is>
      </c>
      <c r="G156" t="inlineStr">
        <is>
          <t>FLEN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44752</v>
      </c>
      <c r="E157" s="1" t="n">
        <v>46286</v>
      </c>
      <c r="F157" t="inlineStr">
        <is>
          <t>SÖDERMANLANDS LÄN</t>
        </is>
      </c>
      <c r="G157" t="inlineStr">
        <is>
          <t>FLEN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46286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44873</v>
      </c>
      <c r="E159" s="1" t="n">
        <v>46286</v>
      </c>
      <c r="F159" t="inlineStr">
        <is>
          <t>SÖDERMANLANDS LÄN</t>
        </is>
      </c>
      <c r="G159" t="inlineStr">
        <is>
          <t>FLEN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46286</v>
      </c>
      <c r="F160" t="inlineStr">
        <is>
          <t>SÖDERMANLANDS LÄN</t>
        </is>
      </c>
      <c r="G160" t="inlineStr">
        <is>
          <t>FLEN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44745</v>
      </c>
      <c r="E161" s="1" t="n">
        <v>46286</v>
      </c>
      <c r="F161" t="inlineStr">
        <is>
          <t>SÖDERMANLANDS LÄN</t>
        </is>
      </c>
      <c r="G161" t="inlineStr">
        <is>
          <t>FLEN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44461</v>
      </c>
      <c r="E162" s="1" t="n">
        <v>46286</v>
      </c>
      <c r="F162" t="inlineStr">
        <is>
          <t>SÖDERMANLANDS LÄN</t>
        </is>
      </c>
      <c r="G162" t="inlineStr">
        <is>
          <t>FLEN</t>
        </is>
      </c>
      <c r="H162" t="inlineStr">
        <is>
          <t>Holmen skog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46286</v>
      </c>
      <c r="F163" t="inlineStr">
        <is>
          <t>SÖDERMANLANDS LÄN</t>
        </is>
      </c>
      <c r="G163" t="inlineStr">
        <is>
          <t>FLEN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46286</v>
      </c>
      <c r="F164" t="inlineStr">
        <is>
          <t>SÖDERMANLANDS LÄN</t>
        </is>
      </c>
      <c r="G164" t="inlineStr">
        <is>
          <t>FLEN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44807</v>
      </c>
      <c r="E165" s="1" t="n">
        <v>46286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46286</v>
      </c>
      <c r="F166" t="inlineStr">
        <is>
          <t>SÖDERMANLANDS LÄN</t>
        </is>
      </c>
      <c r="G166" t="inlineStr">
        <is>
          <t>FLEN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46286</v>
      </c>
      <c r="F167" t="inlineStr">
        <is>
          <t>SÖDERMANLANDS LÄN</t>
        </is>
      </c>
      <c r="G167" t="inlineStr">
        <is>
          <t>FLEN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46286</v>
      </c>
      <c r="F168" t="inlineStr">
        <is>
          <t>SÖDERMANLANDS LÄN</t>
        </is>
      </c>
      <c r="G168" t="inlineStr">
        <is>
          <t>FLEN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46286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46286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44640</v>
      </c>
      <c r="E171" s="1" t="n">
        <v>46286</v>
      </c>
      <c r="F171" t="inlineStr">
        <is>
          <t>SÖDERMANLANDS LÄN</t>
        </is>
      </c>
      <c r="G171" t="inlineStr">
        <is>
          <t>FLEN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44770</v>
      </c>
      <c r="E172" s="1" t="n">
        <v>46286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46286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46286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44643</v>
      </c>
      <c r="E175" s="1" t="n">
        <v>46286</v>
      </c>
      <c r="F175" t="inlineStr">
        <is>
          <t>SÖDERMANLANDS LÄN</t>
        </is>
      </c>
      <c r="G175" t="inlineStr">
        <is>
          <t>FLEN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54840-2021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46286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44778</v>
      </c>
      <c r="E177" s="1" t="n">
        <v>46286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46286</v>
      </c>
      <c r="F178" t="inlineStr">
        <is>
          <t>SÖDERMANLANDS LÄN</t>
        </is>
      </c>
      <c r="G178" t="inlineStr">
        <is>
          <t>FLEN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46286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46286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46286</v>
      </c>
      <c r="F181" t="inlineStr">
        <is>
          <t>SÖDERMANLANDS LÄN</t>
        </is>
      </c>
      <c r="G181" t="inlineStr">
        <is>
          <t>FLEN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46286</v>
      </c>
      <c r="F182" t="inlineStr">
        <is>
          <t>SÖDERMANLANDS LÄN</t>
        </is>
      </c>
      <c r="G182" t="inlineStr">
        <is>
          <t>FLEN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46286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46286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46286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46286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46286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44752</v>
      </c>
      <c r="E188" s="1" t="n">
        <v>46286</v>
      </c>
      <c r="F188" t="inlineStr">
        <is>
          <t>SÖDERMANLANDS LÄN</t>
        </is>
      </c>
      <c r="G188" t="inlineStr">
        <is>
          <t>FLEN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46286</v>
      </c>
      <c r="F189" t="inlineStr">
        <is>
          <t>SÖDERMANLANDS LÄN</t>
        </is>
      </c>
      <c r="G189" t="inlineStr">
        <is>
          <t>FLEN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44566</v>
      </c>
      <c r="E190" s="1" t="n">
        <v>46286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46286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46286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44643</v>
      </c>
      <c r="E193" s="1" t="n">
        <v>46286</v>
      </c>
      <c r="F193" t="inlineStr">
        <is>
          <t>SÖDERMANLANDS LÄN</t>
        </is>
      </c>
      <c r="G193" t="inlineStr">
        <is>
          <t>FLEN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46286</v>
      </c>
      <c r="F194" t="inlineStr">
        <is>
          <t>SÖDERMANLANDS LÄN</t>
        </is>
      </c>
      <c r="G194" t="inlineStr">
        <is>
          <t>FLEN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46286</v>
      </c>
      <c r="F195" t="inlineStr">
        <is>
          <t>SÖDERMANLANDS LÄN</t>
        </is>
      </c>
      <c r="G195" t="inlineStr">
        <is>
          <t>FLEN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46286</v>
      </c>
      <c r="F196" t="inlineStr">
        <is>
          <t>SÖDERMANLANDS LÄN</t>
        </is>
      </c>
      <c r="G196" t="inlineStr">
        <is>
          <t>FLEN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46286</v>
      </c>
      <c r="F197" t="inlineStr">
        <is>
          <t>SÖDERMANLANDS LÄN</t>
        </is>
      </c>
      <c r="G197" t="inlineStr">
        <is>
          <t>FLEN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44868</v>
      </c>
      <c r="E198" s="1" t="n">
        <v>46286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46286</v>
      </c>
      <c r="F199" t="inlineStr">
        <is>
          <t>SÖDERMANLANDS LÄN</t>
        </is>
      </c>
      <c r="G199" t="inlineStr">
        <is>
          <t>FLEN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46286</v>
      </c>
      <c r="F200" t="inlineStr">
        <is>
          <t>SÖDERMANLANDS LÄN</t>
        </is>
      </c>
      <c r="G200" t="inlineStr">
        <is>
          <t>FLEN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12277-2024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46286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46286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46286</v>
      </c>
      <c r="F203" t="inlineStr">
        <is>
          <t>SÖDERMANLANDS LÄN</t>
        </is>
      </c>
      <c r="G203" t="inlineStr">
        <is>
          <t>FLEN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44785</v>
      </c>
      <c r="E204" s="1" t="n">
        <v>46286</v>
      </c>
      <c r="F204" t="inlineStr">
        <is>
          <t>SÖDERMANLANDS LÄN</t>
        </is>
      </c>
      <c r="G204" t="inlineStr">
        <is>
          <t>FLEN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60937-2022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46286</v>
      </c>
      <c r="F205" t="inlineStr">
        <is>
          <t>SÖDERMANLANDS LÄN</t>
        </is>
      </c>
      <c r="G205" t="inlineStr">
        <is>
          <t>FLEN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46286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60255-2021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46286</v>
      </c>
      <c r="F207" t="inlineStr">
        <is>
          <t>SÖDERMANLANDS LÄN</t>
        </is>
      </c>
      <c r="G207" t="inlineStr">
        <is>
          <t>FLEN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44544</v>
      </c>
      <c r="E208" s="1" t="n">
        <v>46286</v>
      </c>
      <c r="F208" t="inlineStr">
        <is>
          <t>SÖDERMANLANDS LÄN</t>
        </is>
      </c>
      <c r="G208" t="inlineStr">
        <is>
          <t>FLEN</t>
        </is>
      </c>
      <c r="I208" t="n">
        <v>13.8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45510</v>
      </c>
      <c r="E209" s="1" t="n">
        <v>46286</v>
      </c>
      <c r="F209" t="inlineStr">
        <is>
          <t>SÖDERMANLANDS LÄN</t>
        </is>
      </c>
      <c r="G209" t="inlineStr">
        <is>
          <t>FLEN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46286</v>
      </c>
      <c r="F210" t="inlineStr">
        <is>
          <t>SÖDERMANLANDS LÄN</t>
        </is>
      </c>
      <c r="G210" t="inlineStr">
        <is>
          <t>FLEN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46286</v>
      </c>
      <c r="F211" t="inlineStr">
        <is>
          <t>SÖDERMANLANDS LÄN</t>
        </is>
      </c>
      <c r="G211" t="inlineStr">
        <is>
          <t>FLEN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46286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46286</v>
      </c>
      <c r="F213" t="inlineStr">
        <is>
          <t>SÖDERMANLANDS LÄN</t>
        </is>
      </c>
      <c r="G213" t="inlineStr">
        <is>
          <t>FLEN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46286</v>
      </c>
      <c r="F214" t="inlineStr">
        <is>
          <t>SÖDERMANLANDS LÄN</t>
        </is>
      </c>
      <c r="G214" t="inlineStr">
        <is>
          <t>FLEN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45597</v>
      </c>
      <c r="E215" s="1" t="n">
        <v>46286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46286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46286</v>
      </c>
      <c r="F217" t="inlineStr">
        <is>
          <t>SÖDERMANLANDS LÄN</t>
        </is>
      </c>
      <c r="G217" t="inlineStr">
        <is>
          <t>FLEN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45270</v>
      </c>
      <c r="E218" s="1" t="n">
        <v>46286</v>
      </c>
      <c r="F218" t="inlineStr">
        <is>
          <t>SÖDERMANLANDS LÄN</t>
        </is>
      </c>
      <c r="G218" t="inlineStr">
        <is>
          <t>FLEN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46286</v>
      </c>
      <c r="F219" t="inlineStr">
        <is>
          <t>SÖDERMANLANDS LÄN</t>
        </is>
      </c>
      <c r="G219" t="inlineStr">
        <is>
          <t>FLEN</t>
        </is>
      </c>
      <c r="H219" t="inlineStr">
        <is>
          <t>Kommuner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46286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45149</v>
      </c>
      <c r="E221" s="1" t="n">
        <v>46286</v>
      </c>
      <c r="F221" t="inlineStr">
        <is>
          <t>SÖDERMANLANDS LÄN</t>
        </is>
      </c>
      <c r="G221" t="inlineStr">
        <is>
          <t>FLEN</t>
        </is>
      </c>
      <c r="H221" t="inlineStr">
        <is>
          <t>Kyrkan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45309</v>
      </c>
      <c r="E222" s="1" t="n">
        <v>46286</v>
      </c>
      <c r="F222" t="inlineStr">
        <is>
          <t>SÖDERMANLANDS LÄN</t>
        </is>
      </c>
      <c r="G222" t="inlineStr">
        <is>
          <t>FLEN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25823-2022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46286</v>
      </c>
      <c r="F223" t="inlineStr">
        <is>
          <t>SÖDERMANLANDS LÄN</t>
        </is>
      </c>
      <c r="G223" t="inlineStr">
        <is>
          <t>FLEN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45482</v>
      </c>
      <c r="E224" s="1" t="n">
        <v>46286</v>
      </c>
      <c r="F224" t="inlineStr">
        <is>
          <t>SÖDERMANLANDS LÄN</t>
        </is>
      </c>
      <c r="G224" t="inlineStr">
        <is>
          <t>FLEN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46286</v>
      </c>
      <c r="F225" t="inlineStr">
        <is>
          <t>SÖDERMANLANDS LÄN</t>
        </is>
      </c>
      <c r="G225" t="inlineStr">
        <is>
          <t>FLEN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66867-2021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44522</v>
      </c>
      <c r="E226" s="1" t="n">
        <v>46286</v>
      </c>
      <c r="F226" t="inlineStr">
        <is>
          <t>SÖDERMANLANDS LÄN</t>
        </is>
      </c>
      <c r="G226" t="inlineStr">
        <is>
          <t>FLEN</t>
        </is>
      </c>
      <c r="H226" t="inlineStr">
        <is>
          <t>Kyrkan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46286</v>
      </c>
      <c r="F227" t="inlineStr">
        <is>
          <t>SÖDERMANLANDS LÄN</t>
        </is>
      </c>
      <c r="G227" t="inlineStr">
        <is>
          <t>FLEN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44931</v>
      </c>
      <c r="E228" s="1" t="n">
        <v>46286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46286</v>
      </c>
      <c r="F229" t="inlineStr">
        <is>
          <t>SÖDERMANLANDS LÄN</t>
        </is>
      </c>
      <c r="G229" t="inlineStr">
        <is>
          <t>FLEN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44859</v>
      </c>
      <c r="E230" s="1" t="n">
        <v>46286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45244</v>
      </c>
      <c r="E231" s="1" t="n">
        <v>46286</v>
      </c>
      <c r="F231" t="inlineStr">
        <is>
          <t>SÖDERMANLANDS LÄN</t>
        </is>
      </c>
      <c r="G231" t="inlineStr">
        <is>
          <t>FLEN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44624</v>
      </c>
      <c r="E232" s="1" t="n">
        <v>46286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46286</v>
      </c>
      <c r="F233" t="inlineStr">
        <is>
          <t>SÖDERMANLANDS LÄN</t>
        </is>
      </c>
      <c r="G233" t="inlineStr">
        <is>
          <t>FLEN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45740</v>
      </c>
      <c r="E234" s="1" t="n">
        <v>46286</v>
      </c>
      <c r="F234" t="inlineStr">
        <is>
          <t>SÖDERMANLANDS LÄN</t>
        </is>
      </c>
      <c r="G234" t="inlineStr">
        <is>
          <t>FLEN</t>
        </is>
      </c>
      <c r="H234" t="inlineStr">
        <is>
          <t>Övriga statliga verk och myndigheter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45311</v>
      </c>
      <c r="E235" s="1" t="n">
        <v>46286</v>
      </c>
      <c r="F235" t="inlineStr">
        <is>
          <t>SÖDERMANLANDS LÄN</t>
        </is>
      </c>
      <c r="G235" t="inlineStr">
        <is>
          <t>FLEN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44588</v>
      </c>
      <c r="E236" s="1" t="n">
        <v>46286</v>
      </c>
      <c r="F236" t="inlineStr">
        <is>
          <t>SÖDERMANLANDS LÄN</t>
        </is>
      </c>
      <c r="G236" t="inlineStr">
        <is>
          <t>FLEN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45299</v>
      </c>
      <c r="E237" s="1" t="n">
        <v>46286</v>
      </c>
      <c r="F237" t="inlineStr">
        <is>
          <t>SÖDERMANLANDS LÄN</t>
        </is>
      </c>
      <c r="G237" t="inlineStr">
        <is>
          <t>FLEN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44872</v>
      </c>
      <c r="E238" s="1" t="n">
        <v>46286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46286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46286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45057</v>
      </c>
      <c r="E241" s="1" t="n">
        <v>46286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45228</v>
      </c>
      <c r="E242" s="1" t="n">
        <v>46286</v>
      </c>
      <c r="F242" t="inlineStr">
        <is>
          <t>SÖDERMANLANDS LÄN</t>
        </is>
      </c>
      <c r="G242" t="inlineStr">
        <is>
          <t>FLEN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45034</v>
      </c>
      <c r="E243" s="1" t="n">
        <v>46286</v>
      </c>
      <c r="F243" t="inlineStr">
        <is>
          <t>SÖDERMANLANDS LÄN</t>
        </is>
      </c>
      <c r="G243" t="inlineStr">
        <is>
          <t>FLEN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44602</v>
      </c>
      <c r="E244" s="1" t="n">
        <v>46286</v>
      </c>
      <c r="F244" t="inlineStr">
        <is>
          <t>SÖDERMANLANDS LÄN</t>
        </is>
      </c>
      <c r="G244" t="inlineStr">
        <is>
          <t>FLEN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46286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46286</v>
      </c>
      <c r="F246" t="inlineStr">
        <is>
          <t>SÖDERMANLANDS LÄN</t>
        </is>
      </c>
      <c r="G246" t="inlineStr">
        <is>
          <t>FLEN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45667</v>
      </c>
      <c r="E247" s="1" t="n">
        <v>46286</v>
      </c>
      <c r="F247" t="inlineStr">
        <is>
          <t>SÖDERMANLANDS LÄN</t>
        </is>
      </c>
      <c r="G247" t="inlineStr">
        <is>
          <t>FLEN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44761</v>
      </c>
      <c r="E248" s="1" t="n">
        <v>46286</v>
      </c>
      <c r="F248" t="inlineStr">
        <is>
          <t>SÖDERMANLANDS LÄN</t>
        </is>
      </c>
      <c r="G248" t="inlineStr">
        <is>
          <t>FLEN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46286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46286</v>
      </c>
      <c r="F250" t="inlineStr">
        <is>
          <t>SÖDERMANLANDS LÄN</t>
        </is>
      </c>
      <c r="G250" t="inlineStr">
        <is>
          <t>FLEN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42731-2024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45566</v>
      </c>
      <c r="E251" s="1" t="n">
        <v>46286</v>
      </c>
      <c r="F251" t="inlineStr">
        <is>
          <t>SÖDERMANLANDS LÄN</t>
        </is>
      </c>
      <c r="G251" t="inlineStr">
        <is>
          <t>FLEN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46286</v>
      </c>
      <c r="F252" t="inlineStr">
        <is>
          <t>SÖDERMANLANDS LÄN</t>
        </is>
      </c>
      <c r="G252" t="inlineStr">
        <is>
          <t>FLEN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45358</v>
      </c>
      <c r="E253" s="1" t="n">
        <v>46286</v>
      </c>
      <c r="F253" t="inlineStr">
        <is>
          <t>SÖDERMANLANDS LÄN</t>
        </is>
      </c>
      <c r="G253" t="inlineStr">
        <is>
          <t>FLEN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46286</v>
      </c>
      <c r="F254" t="inlineStr">
        <is>
          <t>SÖDERMANLANDS LÄN</t>
        </is>
      </c>
      <c r="G254" t="inlineStr">
        <is>
          <t>FLEN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46286</v>
      </c>
      <c r="F255" t="inlineStr">
        <is>
          <t>SÖDERMANLANDS LÄN</t>
        </is>
      </c>
      <c r="G255" t="inlineStr">
        <is>
          <t>FLEN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44785</v>
      </c>
      <c r="E256" s="1" t="n">
        <v>46286</v>
      </c>
      <c r="F256" t="inlineStr">
        <is>
          <t>SÖDERMANLANDS LÄN</t>
        </is>
      </c>
      <c r="G256" t="inlineStr">
        <is>
          <t>FLEN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44616</v>
      </c>
      <c r="E257" s="1" t="n">
        <v>46286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46286</v>
      </c>
      <c r="F258" t="inlineStr">
        <is>
          <t>SÖDERMANLANDS LÄN</t>
        </is>
      </c>
      <c r="G258" t="inlineStr">
        <is>
          <t>FLEN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52692-2021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46286</v>
      </c>
      <c r="F259" t="inlineStr">
        <is>
          <t>SÖDERMANLANDS LÄN</t>
        </is>
      </c>
      <c r="G259" t="inlineStr">
        <is>
          <t>FLEN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46286</v>
      </c>
      <c r="F260" t="inlineStr">
        <is>
          <t>SÖDERMANLANDS LÄN</t>
        </is>
      </c>
      <c r="G260" t="inlineStr">
        <is>
          <t>FLEN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45103</v>
      </c>
      <c r="E261" s="1" t="n">
        <v>46286</v>
      </c>
      <c r="F261" t="inlineStr">
        <is>
          <t>SÖDERMANLANDS LÄN</t>
        </is>
      </c>
      <c r="G261" t="inlineStr">
        <is>
          <t>FLEN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45213</v>
      </c>
      <c r="E262" s="1" t="n">
        <v>46286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46286</v>
      </c>
      <c r="F263" t="inlineStr">
        <is>
          <t>SÖDERMANLANDS LÄN</t>
        </is>
      </c>
      <c r="G263" t="inlineStr">
        <is>
          <t>FLEN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45322</v>
      </c>
      <c r="E264" s="1" t="n">
        <v>46286</v>
      </c>
      <c r="F264" t="inlineStr">
        <is>
          <t>SÖDERMANLANDS LÄN</t>
        </is>
      </c>
      <c r="G264" t="inlineStr">
        <is>
          <t>FLEN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46286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44862</v>
      </c>
      <c r="E266" s="1" t="n">
        <v>46286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67464-2021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44524</v>
      </c>
      <c r="E267" s="1" t="n">
        <v>46286</v>
      </c>
      <c r="F267" t="inlineStr">
        <is>
          <t>SÖDERMANLANDS LÄN</t>
        </is>
      </c>
      <c r="G267" t="inlineStr">
        <is>
          <t>FLEN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46286</v>
      </c>
      <c r="F268" t="inlineStr">
        <is>
          <t>SÖDERMANLANDS LÄN</t>
        </is>
      </c>
      <c r="G268" t="inlineStr">
        <is>
          <t>FLEN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46286</v>
      </c>
      <c r="F269" t="inlineStr">
        <is>
          <t>SÖDERMANLANDS LÄN</t>
        </is>
      </c>
      <c r="G269" t="inlineStr">
        <is>
          <t>FLEN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44807</v>
      </c>
      <c r="E270" s="1" t="n">
        <v>46286</v>
      </c>
      <c r="F270" t="inlineStr">
        <is>
          <t>SÖDERMANLANDS LÄN</t>
        </is>
      </c>
      <c r="G270" t="inlineStr">
        <is>
          <t>FLEN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66979-2021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44522</v>
      </c>
      <c r="E271" s="1" t="n">
        <v>46286</v>
      </c>
      <c r="F271" t="inlineStr">
        <is>
          <t>SÖDERMANLANDS LÄN</t>
        </is>
      </c>
      <c r="G271" t="inlineStr">
        <is>
          <t>FLEN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16908-2024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45411</v>
      </c>
      <c r="E272" s="1" t="n">
        <v>46286</v>
      </c>
      <c r="F272" t="inlineStr">
        <is>
          <t>SÖDERMANLANDS LÄN</t>
        </is>
      </c>
      <c r="G272" t="inlineStr">
        <is>
          <t>FLEN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46286</v>
      </c>
      <c r="F273" t="inlineStr">
        <is>
          <t>SÖDERMANLANDS LÄN</t>
        </is>
      </c>
      <c r="G273" t="inlineStr">
        <is>
          <t>FLEN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46286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46286</v>
      </c>
      <c r="F275" t="inlineStr">
        <is>
          <t>SÖDERMANLANDS LÄN</t>
        </is>
      </c>
      <c r="G275" t="inlineStr">
        <is>
          <t>FLEN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46286</v>
      </c>
      <c r="F276" t="inlineStr">
        <is>
          <t>SÖDERMANLANDS LÄN</t>
        </is>
      </c>
      <c r="G276" t="inlineStr">
        <is>
          <t>FLEN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45081</v>
      </c>
      <c r="E277" s="1" t="n">
        <v>46286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45081</v>
      </c>
      <c r="E278" s="1" t="n">
        <v>46286</v>
      </c>
      <c r="F278" t="inlineStr">
        <is>
          <t>SÖDERMANLANDS LÄN</t>
        </is>
      </c>
      <c r="G278" t="inlineStr">
        <is>
          <t>FLEN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44988</v>
      </c>
      <c r="E279" s="1" t="n">
        <v>46286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53119-2023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45228</v>
      </c>
      <c r="E280" s="1" t="n">
        <v>46286</v>
      </c>
      <c r="F280" t="inlineStr">
        <is>
          <t>SÖDERMANLANDS LÄN</t>
        </is>
      </c>
      <c r="G280" t="inlineStr">
        <is>
          <t>FLEN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46286</v>
      </c>
      <c r="F281" t="inlineStr">
        <is>
          <t>SÖDERMANLANDS LÄN</t>
        </is>
      </c>
      <c r="G281" t="inlineStr">
        <is>
          <t>FLEN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46286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46286</v>
      </c>
      <c r="F283" t="inlineStr">
        <is>
          <t>SÖDERMANLANDS LÄN</t>
        </is>
      </c>
      <c r="G283" t="inlineStr">
        <is>
          <t>FLEN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46286</v>
      </c>
      <c r="F284" t="inlineStr">
        <is>
          <t>SÖDERMANLANDS LÄN</t>
        </is>
      </c>
      <c r="G284" t="inlineStr">
        <is>
          <t>FLEN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46286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46286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46286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52541-2021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44463</v>
      </c>
      <c r="E288" s="1" t="n">
        <v>46286</v>
      </c>
      <c r="F288" t="inlineStr">
        <is>
          <t>SÖDERMANLANDS LÄN</t>
        </is>
      </c>
      <c r="G288" t="inlineStr">
        <is>
          <t>FLEN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46286</v>
      </c>
      <c r="F289" t="inlineStr">
        <is>
          <t>SÖDERMANLANDS LÄN</t>
        </is>
      </c>
      <c r="G289" t="inlineStr">
        <is>
          <t>FLEN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46286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46286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45066</v>
      </c>
      <c r="E292" s="1" t="n">
        <v>46286</v>
      </c>
      <c r="F292" t="inlineStr">
        <is>
          <t>SÖDERMANLANDS LÄN</t>
        </is>
      </c>
      <c r="G292" t="inlineStr">
        <is>
          <t>FLEN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46286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46286</v>
      </c>
      <c r="F294" t="inlineStr">
        <is>
          <t>SÖDERMANLANDS LÄN</t>
        </is>
      </c>
      <c r="G294" t="inlineStr">
        <is>
          <t>FLEN</t>
        </is>
      </c>
      <c r="H294" t="inlineStr">
        <is>
          <t>Övriga statliga verk och myndigheter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44864</v>
      </c>
      <c r="E295" s="1" t="n">
        <v>46286</v>
      </c>
      <c r="F295" t="inlineStr">
        <is>
          <t>SÖDERMANLANDS LÄN</t>
        </is>
      </c>
      <c r="G295" t="inlineStr">
        <is>
          <t>FLEN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44855</v>
      </c>
      <c r="E296" s="1" t="n">
        <v>46286</v>
      </c>
      <c r="F296" t="inlineStr">
        <is>
          <t>SÖDERMANLANDS LÄN</t>
        </is>
      </c>
      <c r="G296" t="inlineStr">
        <is>
          <t>FLEN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46286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46286</v>
      </c>
      <c r="F298" t="inlineStr">
        <is>
          <t>SÖDERMANLANDS LÄN</t>
        </is>
      </c>
      <c r="G298" t="inlineStr">
        <is>
          <t>FLEN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44855</v>
      </c>
      <c r="E299" s="1" t="n">
        <v>46286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46286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46286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45528</v>
      </c>
      <c r="E302" s="1" t="n">
        <v>46286</v>
      </c>
      <c r="F302" t="inlineStr">
        <is>
          <t>SÖDERMANLANDS LÄN</t>
        </is>
      </c>
      <c r="G302" t="inlineStr">
        <is>
          <t>FLEN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46286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46286</v>
      </c>
      <c r="F304" t="inlineStr">
        <is>
          <t>SÖDERMANLANDS LÄN</t>
        </is>
      </c>
      <c r="G304" t="inlineStr">
        <is>
          <t>FLEN</t>
        </is>
      </c>
      <c r="H304" t="inlineStr">
        <is>
          <t>Övriga statliga verk och myndigheter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44970</v>
      </c>
      <c r="E305" s="1" t="n">
        <v>46286</v>
      </c>
      <c r="F305" t="inlineStr">
        <is>
          <t>SÖDERMANLANDS LÄN</t>
        </is>
      </c>
      <c r="G305" t="inlineStr">
        <is>
          <t>FLEN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46286</v>
      </c>
      <c r="F306" t="inlineStr">
        <is>
          <t>SÖDERMANLANDS LÄN</t>
        </is>
      </c>
      <c r="G306" t="inlineStr">
        <is>
          <t>FLEN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45140</v>
      </c>
      <c r="E307" s="1" t="n">
        <v>46286</v>
      </c>
      <c r="F307" t="inlineStr">
        <is>
          <t>SÖDERMANLANDS LÄN</t>
        </is>
      </c>
      <c r="G307" t="inlineStr">
        <is>
          <t>FLEN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54283-2025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45964</v>
      </c>
      <c r="E308" s="1" t="n">
        <v>46286</v>
      </c>
      <c r="F308" t="inlineStr">
        <is>
          <t>SÖDERMANLANDS LÄN</t>
        </is>
      </c>
      <c r="G308" t="inlineStr">
        <is>
          <t>FLEN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54282-2025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45964</v>
      </c>
      <c r="E309" s="1" t="n">
        <v>46286</v>
      </c>
      <c r="F309" t="inlineStr">
        <is>
          <t>SÖDERMANLANDS LÄN</t>
        </is>
      </c>
      <c r="G309" t="inlineStr">
        <is>
          <t>FLEN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46286</v>
      </c>
      <c r="F310" t="inlineStr">
        <is>
          <t>SÖDERMANLANDS LÄN</t>
        </is>
      </c>
      <c r="G310" t="inlineStr">
        <is>
          <t>FLEN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46286</v>
      </c>
      <c r="F311" t="inlineStr">
        <is>
          <t>SÖDERMANLANDS LÄN</t>
        </is>
      </c>
      <c r="G311" t="inlineStr">
        <is>
          <t>FLEN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45209</v>
      </c>
      <c r="E312" s="1" t="n">
        <v>46286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46286</v>
      </c>
      <c r="F313" t="inlineStr">
        <is>
          <t>SÖDERMANLANDS LÄN</t>
        </is>
      </c>
      <c r="G313" t="inlineStr">
        <is>
          <t>FLEN</t>
        </is>
      </c>
      <c r="H313" t="inlineStr">
        <is>
          <t>Övriga statliga verk och myndigheter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44991</v>
      </c>
      <c r="E314" s="1" t="n">
        <v>46286</v>
      </c>
      <c r="F314" t="inlineStr">
        <is>
          <t>SÖDERMANLANDS LÄN</t>
        </is>
      </c>
      <c r="G314" t="inlineStr">
        <is>
          <t>FLEN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56573-2025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45974</v>
      </c>
      <c r="E315" s="1" t="n">
        <v>46286</v>
      </c>
      <c r="F315" t="inlineStr">
        <is>
          <t>SÖDERMANLANDS LÄN</t>
        </is>
      </c>
      <c r="G315" t="inlineStr">
        <is>
          <t>FLEN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46286</v>
      </c>
      <c r="F316" t="inlineStr">
        <is>
          <t>SÖDERMANLANDS LÄN</t>
        </is>
      </c>
      <c r="G316" t="inlineStr">
        <is>
          <t>FLEN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46286</v>
      </c>
      <c r="F317" t="inlineStr">
        <is>
          <t>SÖDERMANLANDS LÄN</t>
        </is>
      </c>
      <c r="G317" t="inlineStr">
        <is>
          <t>FLEN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46286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45230</v>
      </c>
      <c r="E319" s="1" t="n">
        <v>46286</v>
      </c>
      <c r="F319" t="inlineStr">
        <is>
          <t>SÖDERMANLANDS LÄN</t>
        </is>
      </c>
      <c r="G319" t="inlineStr">
        <is>
          <t>FLEN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46286</v>
      </c>
      <c r="F320" t="inlineStr">
        <is>
          <t>SÖDERMANLANDS LÄN</t>
        </is>
      </c>
      <c r="G320" t="inlineStr">
        <is>
          <t>FLEN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46286</v>
      </c>
      <c r="F321" t="inlineStr">
        <is>
          <t>SÖDERMANLANDS LÄN</t>
        </is>
      </c>
      <c r="G321" t="inlineStr">
        <is>
          <t>FLEN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46286</v>
      </c>
      <c r="F322" t="inlineStr">
        <is>
          <t>SÖDERMANLANDS LÄN</t>
        </is>
      </c>
      <c r="G322" t="inlineStr">
        <is>
          <t>FLEN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52353-2023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45224</v>
      </c>
      <c r="E323" s="1" t="n">
        <v>46286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8.199999999999999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46286</v>
      </c>
      <c r="F324" t="inlineStr">
        <is>
          <t>SÖDERMANLANDS LÄN</t>
        </is>
      </c>
      <c r="G324" t="inlineStr">
        <is>
          <t>FLEN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46286</v>
      </c>
      <c r="F325" t="inlineStr">
        <is>
          <t>SÖDERMANLANDS LÄN</t>
        </is>
      </c>
      <c r="G325" t="inlineStr">
        <is>
          <t>FLEN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46286</v>
      </c>
      <c r="F326" t="inlineStr">
        <is>
          <t>SÖDERMANLANDS LÄN</t>
        </is>
      </c>
      <c r="G326" t="inlineStr">
        <is>
          <t>FLEN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46286</v>
      </c>
      <c r="F327" t="inlineStr">
        <is>
          <t>SÖDERMANLANDS LÄN</t>
        </is>
      </c>
      <c r="G327" t="inlineStr">
        <is>
          <t>FLEN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46286</v>
      </c>
      <c r="F328" t="inlineStr">
        <is>
          <t>SÖDERMANLANDS LÄN</t>
        </is>
      </c>
      <c r="G328" t="inlineStr">
        <is>
          <t>FLEN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46286</v>
      </c>
      <c r="F329" t="inlineStr">
        <is>
          <t>SÖDERMANLANDS LÄN</t>
        </is>
      </c>
      <c r="G329" t="inlineStr">
        <is>
          <t>FLEN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44701</v>
      </c>
      <c r="E330" s="1" t="n">
        <v>46286</v>
      </c>
      <c r="F330" t="inlineStr">
        <is>
          <t>SÖDERMANLANDS LÄN</t>
        </is>
      </c>
      <c r="G330" t="inlineStr">
        <is>
          <t>FLEN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46286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46286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45518</v>
      </c>
      <c r="E333" s="1" t="n">
        <v>46286</v>
      </c>
      <c r="F333" t="inlineStr">
        <is>
          <t>SÖDERMANLANDS LÄN</t>
        </is>
      </c>
      <c r="G333" t="inlineStr">
        <is>
          <t>FLEN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46286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46286</v>
      </c>
      <c r="F335" t="inlineStr">
        <is>
          <t>SÖDERMANLANDS LÄN</t>
        </is>
      </c>
      <c r="G335" t="inlineStr">
        <is>
          <t>FLEN</t>
        </is>
      </c>
      <c r="H335" t="inlineStr">
        <is>
          <t>Kyrkan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46286</v>
      </c>
      <c r="F336" t="inlineStr">
        <is>
          <t>SÖDERMANLANDS LÄN</t>
        </is>
      </c>
      <c r="G336" t="inlineStr">
        <is>
          <t>FLEN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46286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46286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46286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45257</v>
      </c>
      <c r="E340" s="1" t="n">
        <v>46286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45632</v>
      </c>
      <c r="E341" s="1" t="n">
        <v>46286</v>
      </c>
      <c r="F341" t="inlineStr">
        <is>
          <t>SÖDERMANLANDS LÄN</t>
        </is>
      </c>
      <c r="G341" t="inlineStr">
        <is>
          <t>FLEN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46286</v>
      </c>
      <c r="F342" t="inlineStr">
        <is>
          <t>SÖDERMANLANDS LÄN</t>
        </is>
      </c>
      <c r="G342" t="inlineStr">
        <is>
          <t>FLEN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46286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46286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44676</v>
      </c>
      <c r="E345" s="1" t="n">
        <v>46286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14599-2023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45013</v>
      </c>
      <c r="E346" s="1" t="n">
        <v>46286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46286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46286</v>
      </c>
      <c r="F348" t="inlineStr">
        <is>
          <t>SÖDERMANLANDS LÄN</t>
        </is>
      </c>
      <c r="G348" t="inlineStr">
        <is>
          <t>FLEN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46286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46286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50796-2021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44459</v>
      </c>
      <c r="E351" s="1" t="n">
        <v>46286</v>
      </c>
      <c r="F351" t="inlineStr">
        <is>
          <t>SÖDERMANLANDS LÄN</t>
        </is>
      </c>
      <c r="G351" t="inlineStr">
        <is>
          <t>FLEN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46286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46286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46286</v>
      </c>
      <c r="F354" t="inlineStr">
        <is>
          <t>SÖDERMANLANDS LÄN</t>
        </is>
      </c>
      <c r="G354" t="inlineStr">
        <is>
          <t>FLEN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46286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46121</v>
      </c>
      <c r="E356" s="1" t="n">
        <v>46286</v>
      </c>
      <c r="F356" t="inlineStr">
        <is>
          <t>SÖDERMANLANDS LÄN</t>
        </is>
      </c>
      <c r="G356" t="inlineStr">
        <is>
          <t>FLEN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46286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HYPERLINK("https://klasma.github.io/Logging_0482/knärot/A 24450-2026 karta knärot.png", "A 24450-2026")</f>
        <v/>
      </c>
      <c r="AA357">
        <f>HYPERLINK("https://klasma.github.io/Logging_0482/klagomål/A 24450-2026 FSC-klagomål.docx", "A 24450-2026")</f>
        <v/>
      </c>
      <c r="AB357">
        <f>HYPERLINK("https://klasma.github.io/Logging_0482/klagomålsmail/A 24450-2026 FSC-klagomål mail.docx", "A 24450-2026")</f>
        <v/>
      </c>
      <c r="AC357">
        <f>HYPERLINK("https://klasma.github.io/Logging_0482/tillsyn/A 24450-2026 tillsynsbegäran.docx", "A 24450-2026")</f>
        <v/>
      </c>
      <c r="AD357">
        <f>HYPERLINK("https://klasma.github.io/Logging_0482/tillsynsmail/A 24450-2026 tillsynsbegäran mail.docx", "A 24450-2026")</f>
        <v/>
      </c>
    </row>
    <row r="358" ht="15" customHeight="1">
      <c r="A358" t="inlineStr">
        <is>
          <t>A 39053-2023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46286</v>
      </c>
      <c r="F358" t="inlineStr">
        <is>
          <t>SÖDERMANLANDS LÄN</t>
        </is>
      </c>
      <c r="G358" t="inlineStr">
        <is>
          <t>FLEN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46286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46286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46286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54781-2024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45618</v>
      </c>
      <c r="E362" s="1" t="n">
        <v>46286</v>
      </c>
      <c r="F362" t="inlineStr">
        <is>
          <t>SÖDERMANLANDS LÄN</t>
        </is>
      </c>
      <c r="G362" t="inlineStr">
        <is>
          <t>FLEN</t>
        </is>
      </c>
      <c r="I362" t="n">
        <v>10.3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46286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46286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46286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46286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47872-2025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45932</v>
      </c>
      <c r="E367" s="1" t="n">
        <v>46286</v>
      </c>
      <c r="F367" t="inlineStr">
        <is>
          <t>SÖDERMANLANDS LÄN</t>
        </is>
      </c>
      <c r="G367" t="inlineStr">
        <is>
          <t>FLEN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46286</v>
      </c>
      <c r="F368" t="inlineStr">
        <is>
          <t>SÖDERMANLANDS LÄN</t>
        </is>
      </c>
      <c r="G368" t="inlineStr">
        <is>
          <t>FLEN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46286</v>
      </c>
      <c r="F369" t="inlineStr">
        <is>
          <t>SÖDERMANLANDS LÄN</t>
        </is>
      </c>
      <c r="G369" t="inlineStr">
        <is>
          <t>FLEN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46286</v>
      </c>
      <c r="F370" t="inlineStr">
        <is>
          <t>SÖDERMANLANDS LÄN</t>
        </is>
      </c>
      <c r="G370" t="inlineStr">
        <is>
          <t>FLEN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46286</v>
      </c>
      <c r="F371" t="inlineStr">
        <is>
          <t>SÖDERMANLANDS LÄN</t>
        </is>
      </c>
      <c r="G371" t="inlineStr">
        <is>
          <t>FLEN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46176</v>
      </c>
      <c r="E372" s="1" t="n">
        <v>46286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46286</v>
      </c>
      <c r="F373" t="inlineStr">
        <is>
          <t>SÖDERMANLANDS LÄN</t>
        </is>
      </c>
      <c r="G373" t="inlineStr">
        <is>
          <t>FLEN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46181</v>
      </c>
      <c r="E374" s="1" t="n">
        <v>46286</v>
      </c>
      <c r="F374" t="inlineStr">
        <is>
          <t>SÖDERMANLANDS LÄN</t>
        </is>
      </c>
      <c r="G374" t="inlineStr">
        <is>
          <t>FLEN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46286</v>
      </c>
      <c r="F375" t="inlineStr">
        <is>
          <t>SÖDERMANLANDS LÄN</t>
        </is>
      </c>
      <c r="G375" t="inlineStr">
        <is>
          <t>FLEN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14412-2023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45012</v>
      </c>
      <c r="E376" s="1" t="n">
        <v>46286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46286</v>
      </c>
      <c r="F377" t="inlineStr">
        <is>
          <t>SÖDERMANLANDS LÄN</t>
        </is>
      </c>
      <c r="G377" t="inlineStr">
        <is>
          <t>FLEN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46286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46286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44958</v>
      </c>
      <c r="E380" s="1" t="n">
        <v>46286</v>
      </c>
      <c r="F380" t="inlineStr">
        <is>
          <t>SÖDERMANLANDS LÄN</t>
        </is>
      </c>
      <c r="G380" t="inlineStr">
        <is>
          <t>FLEN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46286</v>
      </c>
      <c r="F381" t="inlineStr">
        <is>
          <t>SÖDERMANLANDS LÄN</t>
        </is>
      </c>
      <c r="G381" t="inlineStr">
        <is>
          <t>FLEN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46286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45072</v>
      </c>
      <c r="E383" s="1" t="n">
        <v>46286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46286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46286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46286</v>
      </c>
      <c r="F386" t="inlineStr">
        <is>
          <t>SÖDERMANLANDS LÄN</t>
        </is>
      </c>
      <c r="G386" t="inlineStr">
        <is>
          <t>FLEN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46286</v>
      </c>
      <c r="F387" t="inlineStr">
        <is>
          <t>SÖDERMANLANDS LÄN</t>
        </is>
      </c>
      <c r="G387" t="inlineStr">
        <is>
          <t>FLEN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45299</v>
      </c>
      <c r="E388" s="1" t="n">
        <v>46286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46286</v>
      </c>
      <c r="F389" t="inlineStr">
        <is>
          <t>SÖDERMANLANDS LÄN</t>
        </is>
      </c>
      <c r="G389" t="inlineStr">
        <is>
          <t>FLEN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46286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45923-2023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46286</v>
      </c>
      <c r="F391" t="inlineStr">
        <is>
          <t>SÖDERMANLANDS LÄN</t>
        </is>
      </c>
      <c r="G391" t="inlineStr">
        <is>
          <t>FLEN</t>
        </is>
      </c>
      <c r="H391" t="inlineStr">
        <is>
          <t>Övriga statliga verk och myndigheter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45082</v>
      </c>
      <c r="E392" s="1" t="n">
        <v>46286</v>
      </c>
      <c r="F392" t="inlineStr">
        <is>
          <t>SÖDERMANLANDS LÄN</t>
        </is>
      </c>
      <c r="G392" t="inlineStr">
        <is>
          <t>FLEN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46286</v>
      </c>
      <c r="F393" t="inlineStr">
        <is>
          <t>SÖDERMANLANDS LÄN</t>
        </is>
      </c>
      <c r="G393" t="inlineStr">
        <is>
          <t>FLEN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46286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46080</v>
      </c>
      <c r="E395" s="1" t="n">
        <v>46286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45030</v>
      </c>
      <c r="E396" s="1" t="n">
        <v>46286</v>
      </c>
      <c r="F396" t="inlineStr">
        <is>
          <t>SÖDERMANLANDS LÄN</t>
        </is>
      </c>
      <c r="G396" t="inlineStr">
        <is>
          <t>FLEN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46286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46286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46286</v>
      </c>
      <c r="F399" t="inlineStr">
        <is>
          <t>SÖDERMANLANDS LÄN</t>
        </is>
      </c>
      <c r="G399" t="inlineStr">
        <is>
          <t>FLEN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46286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46286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11339-2026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46082</v>
      </c>
      <c r="E402" s="1" t="n">
        <v>46286</v>
      </c>
      <c r="F402" t="inlineStr">
        <is>
          <t>SÖDERMANLANDS LÄN</t>
        </is>
      </c>
      <c r="G402" t="inlineStr">
        <is>
          <t>FLEN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46286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46286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46286</v>
      </c>
      <c r="F405" t="inlineStr">
        <is>
          <t>SÖDERMANLANDS LÄN</t>
        </is>
      </c>
      <c r="G405" t="inlineStr">
        <is>
          <t>FLEN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55445-2022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44887</v>
      </c>
      <c r="E406" s="1" t="n">
        <v>46286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46286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46286</v>
      </c>
      <c r="F408" t="inlineStr">
        <is>
          <t>SÖDERMANLANDS LÄN</t>
        </is>
      </c>
      <c r="G408" t="inlineStr">
        <is>
          <t>FLEN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54340-2023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46286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45501</v>
      </c>
      <c r="E410" s="1" t="n">
        <v>46286</v>
      </c>
      <c r="F410" t="inlineStr">
        <is>
          <t>SÖDERMANLANDS LÄN</t>
        </is>
      </c>
      <c r="G410" t="inlineStr">
        <is>
          <t>FLEN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46286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46286</v>
      </c>
      <c r="F412" t="inlineStr">
        <is>
          <t>SÖDERMANLANDS LÄN</t>
        </is>
      </c>
      <c r="G412" t="inlineStr">
        <is>
          <t>FLEN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46401-2022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44846</v>
      </c>
      <c r="E413" s="1" t="n">
        <v>46286</v>
      </c>
      <c r="F413" t="inlineStr">
        <is>
          <t>SÖDERMANLANDS LÄN</t>
        </is>
      </c>
      <c r="G413" t="inlineStr">
        <is>
          <t>FLEN</t>
        </is>
      </c>
      <c r="H413" t="inlineStr">
        <is>
          <t>Kyrkan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46286</v>
      </c>
      <c r="F414" t="inlineStr">
        <is>
          <t>SÖDERMANLANDS LÄN</t>
        </is>
      </c>
      <c r="G414" t="inlineStr">
        <is>
          <t>FLEN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45161</v>
      </c>
      <c r="E415" s="1" t="n">
        <v>46286</v>
      </c>
      <c r="F415" t="inlineStr">
        <is>
          <t>SÖDERMANLANDS LÄN</t>
        </is>
      </c>
      <c r="G415" t="inlineStr">
        <is>
          <t>FLEN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46091</v>
      </c>
      <c r="E416" s="1" t="n">
        <v>46286</v>
      </c>
      <c r="F416" t="inlineStr">
        <is>
          <t>SÖDERMANLANDS LÄN</t>
        </is>
      </c>
      <c r="G416" t="inlineStr">
        <is>
          <t>FLEN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45250</v>
      </c>
      <c r="E417" s="1" t="n">
        <v>46286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46286</v>
      </c>
      <c r="F418" t="inlineStr">
        <is>
          <t>SÖDERMANLANDS LÄN</t>
        </is>
      </c>
      <c r="G418" t="inlineStr">
        <is>
          <t>FLEN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46286</v>
      </c>
      <c r="F419" t="inlineStr">
        <is>
          <t>SÖDERMANLANDS LÄN</t>
        </is>
      </c>
      <c r="G419" t="inlineStr">
        <is>
          <t>FLEN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46286</v>
      </c>
      <c r="F420" t="inlineStr">
        <is>
          <t>SÖDERMANLANDS LÄN</t>
        </is>
      </c>
      <c r="G420" t="inlineStr">
        <is>
          <t>FLEN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46286</v>
      </c>
      <c r="F421" t="inlineStr">
        <is>
          <t>SÖDERMANLANDS LÄN</t>
        </is>
      </c>
      <c r="G421" t="inlineStr">
        <is>
          <t>FLEN</t>
        </is>
      </c>
      <c r="H421" t="inlineStr">
        <is>
          <t>Övriga statliga verk och myndigheter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45441</v>
      </c>
      <c r="E422" s="1" t="n">
        <v>46286</v>
      </c>
      <c r="F422" t="inlineStr">
        <is>
          <t>SÖDERMANLANDS LÄN</t>
        </is>
      </c>
      <c r="G422" t="inlineStr">
        <is>
          <t>FLEN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46286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8903-2022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46286</v>
      </c>
      <c r="F424" t="inlineStr">
        <is>
          <t>SÖDERMANLANDS LÄN</t>
        </is>
      </c>
      <c r="G424" t="inlineStr">
        <is>
          <t>FLEN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45720</v>
      </c>
      <c r="E425" s="1" t="n">
        <v>46286</v>
      </c>
      <c r="F425" t="inlineStr">
        <is>
          <t>SÖDERMANLANDS LÄN</t>
        </is>
      </c>
      <c r="G425" t="inlineStr">
        <is>
          <t>FLEN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46286</v>
      </c>
      <c r="F426" t="inlineStr">
        <is>
          <t>SÖDERMANLANDS LÄN</t>
        </is>
      </c>
      <c r="G426" t="inlineStr">
        <is>
          <t>FLEN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46113</v>
      </c>
      <c r="E427" s="1" t="n">
        <v>46286</v>
      </c>
      <c r="F427" t="inlineStr">
        <is>
          <t>SÖDERMANLANDS LÄN</t>
        </is>
      </c>
      <c r="G427" t="inlineStr">
        <is>
          <t>FLEN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46286</v>
      </c>
      <c r="F428" t="inlineStr">
        <is>
          <t>SÖDERMANLANDS LÄN</t>
        </is>
      </c>
      <c r="G428" t="inlineStr">
        <is>
          <t>FLEN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37286-2024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45540</v>
      </c>
      <c r="E429" s="1" t="n">
        <v>46286</v>
      </c>
      <c r="F429" t="inlineStr">
        <is>
          <t>SÖDERMANLANDS LÄN</t>
        </is>
      </c>
      <c r="G429" t="inlineStr">
        <is>
          <t>FLEN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8793-2022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46286</v>
      </c>
      <c r="F430" t="inlineStr">
        <is>
          <t>SÖDERMANLANDS LÄN</t>
        </is>
      </c>
      <c r="G430" t="inlineStr">
        <is>
          <t>FLEN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46286</v>
      </c>
      <c r="F431" t="inlineStr">
        <is>
          <t>SÖDERMANLANDS LÄN</t>
        </is>
      </c>
      <c r="G431" t="inlineStr">
        <is>
          <t>FLEN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46126</v>
      </c>
      <c r="E432" s="1" t="n">
        <v>46286</v>
      </c>
      <c r="F432" t="inlineStr">
        <is>
          <t>SÖDERMANLANDS LÄN</t>
        </is>
      </c>
      <c r="G432" t="inlineStr">
        <is>
          <t>FLEN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46126</v>
      </c>
      <c r="E433" s="1" t="n">
        <v>46286</v>
      </c>
      <c r="F433" t="inlineStr">
        <is>
          <t>SÖDERMANLANDS LÄN</t>
        </is>
      </c>
      <c r="G433" t="inlineStr">
        <is>
          <t>FLEN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46125</v>
      </c>
      <c r="E434" s="1" t="n">
        <v>46286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46286</v>
      </c>
      <c r="F435" t="inlineStr">
        <is>
          <t>SÖDERMANLANDS LÄN</t>
        </is>
      </c>
      <c r="G435" t="inlineStr">
        <is>
          <t>FLEN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46286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46286</v>
      </c>
      <c r="F437" t="inlineStr">
        <is>
          <t>SÖDERMANLANDS LÄN</t>
        </is>
      </c>
      <c r="G437" t="inlineStr">
        <is>
          <t>FLEN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60034-2022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46286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18918-2026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46129</v>
      </c>
      <c r="E439" s="1" t="n">
        <v>46286</v>
      </c>
      <c r="F439" t="inlineStr">
        <is>
          <t>SÖDERMANLANDS LÄN</t>
        </is>
      </c>
      <c r="G439" t="inlineStr">
        <is>
          <t>FLEN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45327</v>
      </c>
      <c r="E440" s="1" t="n">
        <v>46286</v>
      </c>
      <c r="F440" t="inlineStr">
        <is>
          <t>SÖDERMANLANDS LÄN</t>
        </is>
      </c>
      <c r="G440" t="inlineStr">
        <is>
          <t>FLEN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45001</v>
      </c>
      <c r="E441" s="1" t="n">
        <v>46286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46286</v>
      </c>
      <c r="F442" t="inlineStr">
        <is>
          <t>SÖDERMANLANDS LÄN</t>
        </is>
      </c>
      <c r="G442" t="inlineStr">
        <is>
          <t>FLEN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46286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46286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73923-2021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44553</v>
      </c>
      <c r="E445" s="1" t="n">
        <v>46286</v>
      </c>
      <c r="F445" t="inlineStr">
        <is>
          <t>SÖDERMANLANDS LÄN</t>
        </is>
      </c>
      <c r="G445" t="inlineStr">
        <is>
          <t>FLEN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46134</v>
      </c>
      <c r="E446" s="1" t="n">
        <v>46286</v>
      </c>
      <c r="F446" t="inlineStr">
        <is>
          <t>SÖDERMANLANDS LÄN</t>
        </is>
      </c>
      <c r="G446" t="inlineStr">
        <is>
          <t>FLEN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45345</v>
      </c>
      <c r="E447" s="1" t="n">
        <v>46286</v>
      </c>
      <c r="F447" t="inlineStr">
        <is>
          <t>SÖDERMANLANDS LÄN</t>
        </is>
      </c>
      <c r="G447" t="inlineStr">
        <is>
          <t>FLEN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45888</v>
      </c>
      <c r="E448" s="1" t="n">
        <v>46286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45805</v>
      </c>
      <c r="E449" s="1" t="n">
        <v>46286</v>
      </c>
      <c r="F449" t="inlineStr">
        <is>
          <t>SÖDERMANLANDS LÄN</t>
        </is>
      </c>
      <c r="G449" t="inlineStr">
        <is>
          <t>FLEN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45718</v>
      </c>
      <c r="E450" s="1" t="n">
        <v>46286</v>
      </c>
      <c r="F450" t="inlineStr">
        <is>
          <t>SÖDERMANLANDS LÄN</t>
        </is>
      </c>
      <c r="G450" t="inlineStr">
        <is>
          <t>FLEN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44648</v>
      </c>
      <c r="E451" s="1" t="n">
        <v>46286</v>
      </c>
      <c r="F451" t="inlineStr">
        <is>
          <t>SÖDERMANLANDS LÄN</t>
        </is>
      </c>
      <c r="G451" t="inlineStr">
        <is>
          <t>FLEN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46286</v>
      </c>
      <c r="F452" t="inlineStr">
        <is>
          <t>SÖDERMANLANDS LÄN</t>
        </is>
      </c>
      <c r="G452" t="inlineStr">
        <is>
          <t>FLEN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45454</v>
      </c>
      <c r="E453" s="1" t="n">
        <v>46286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28768-2024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46286</v>
      </c>
      <c r="F454" t="inlineStr">
        <is>
          <t>SÖDERMANLANDS LÄN</t>
        </is>
      </c>
      <c r="G454" t="inlineStr">
        <is>
          <t>FLEN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46251</v>
      </c>
      <c r="E455" s="1" t="n">
        <v>46286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45713</v>
      </c>
      <c r="E456" s="1" t="n">
        <v>46286</v>
      </c>
      <c r="F456" t="inlineStr">
        <is>
          <t>SÖDERMANLANDS LÄN</t>
        </is>
      </c>
      <c r="G456" t="inlineStr">
        <is>
          <t>FLEN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44580</v>
      </c>
      <c r="E457" s="1" t="n">
        <v>46286</v>
      </c>
      <c r="F457" t="inlineStr">
        <is>
          <t>SÖDERMANLANDS LÄN</t>
        </is>
      </c>
      <c r="G457" t="inlineStr">
        <is>
          <t>FLEN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46286</v>
      </c>
      <c r="F458" t="inlineStr">
        <is>
          <t>SÖDERMANLANDS LÄN</t>
        </is>
      </c>
      <c r="G458" t="inlineStr">
        <is>
          <t>FLEN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46286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46286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39891-2022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44819</v>
      </c>
      <c r="E461" s="1" t="n">
        <v>46286</v>
      </c>
      <c r="F461" t="inlineStr">
        <is>
          <t>SÖDERMANLANDS LÄN</t>
        </is>
      </c>
      <c r="G461" t="inlineStr">
        <is>
          <t>FLEN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46286</v>
      </c>
      <c r="F462" t="inlineStr">
        <is>
          <t>SÖDERMANLANDS LÄN</t>
        </is>
      </c>
      <c r="G462" t="inlineStr">
        <is>
          <t>FLEN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33936-2026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46250</v>
      </c>
      <c r="E463" s="1" t="n">
        <v>46286</v>
      </c>
      <c r="F463" t="inlineStr">
        <is>
          <t>SÖDERMANLANDS LÄN</t>
        </is>
      </c>
      <c r="G463" t="inlineStr">
        <is>
          <t>FLEN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46286</v>
      </c>
      <c r="F464" t="inlineStr">
        <is>
          <t>SÖDERMANLANDS LÄN</t>
        </is>
      </c>
      <c r="G464" t="inlineStr">
        <is>
          <t>FLEN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45110</v>
      </c>
      <c r="E465" s="1" t="n">
        <v>46286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45250</v>
      </c>
      <c r="E466" s="1" t="n">
        <v>46286</v>
      </c>
      <c r="F466" t="inlineStr">
        <is>
          <t>SÖDERMANLANDS LÄN</t>
        </is>
      </c>
      <c r="G466" t="inlineStr">
        <is>
          <t>FLEN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46286</v>
      </c>
      <c r="F467" t="inlineStr">
        <is>
          <t>SÖDERMANLANDS LÄN</t>
        </is>
      </c>
      <c r="G467" t="inlineStr">
        <is>
          <t>FLEN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44960</v>
      </c>
      <c r="E468" s="1" t="n">
        <v>46286</v>
      </c>
      <c r="F468" t="inlineStr">
        <is>
          <t>SÖDERMANLANDS LÄN</t>
        </is>
      </c>
      <c r="G468" t="inlineStr">
        <is>
          <t>FLEN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46286</v>
      </c>
      <c r="F469" t="inlineStr">
        <is>
          <t>SÖDERMANLANDS LÄN</t>
        </is>
      </c>
      <c r="G469" t="inlineStr">
        <is>
          <t>FLEN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46286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46286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46286</v>
      </c>
      <c r="F472" t="inlineStr">
        <is>
          <t>SÖDERMANLANDS LÄN</t>
        </is>
      </c>
      <c r="G472" t="inlineStr">
        <is>
          <t>FLEN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46286</v>
      </c>
      <c r="F473" t="inlineStr">
        <is>
          <t>SÖDERMANLANDS LÄN</t>
        </is>
      </c>
      <c r="G473" t="inlineStr">
        <is>
          <t>FLEN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45036</v>
      </c>
      <c r="E474" s="1" t="n">
        <v>46286</v>
      </c>
      <c r="F474" t="inlineStr">
        <is>
          <t>SÖDERMANLANDS LÄN</t>
        </is>
      </c>
      <c r="G474" t="inlineStr">
        <is>
          <t>FLEN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46286</v>
      </c>
      <c r="F475" t="inlineStr">
        <is>
          <t>SÖDERMANLANDS LÄN</t>
        </is>
      </c>
      <c r="G475" t="inlineStr">
        <is>
          <t>FLEN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10256-2024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45365</v>
      </c>
      <c r="E476" s="1" t="n">
        <v>46286</v>
      </c>
      <c r="F476" t="inlineStr">
        <is>
          <t>SÖDERMANLANDS LÄN</t>
        </is>
      </c>
      <c r="G476" t="inlineStr">
        <is>
          <t>FLEN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46286</v>
      </c>
      <c r="F477" t="inlineStr">
        <is>
          <t>SÖDERMANLANDS LÄN</t>
        </is>
      </c>
      <c r="G477" t="inlineStr">
        <is>
          <t>FLEN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46286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46286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44634</v>
      </c>
      <c r="E480" s="1" t="n">
        <v>46286</v>
      </c>
      <c r="F480" t="inlineStr">
        <is>
          <t>SÖDERMANLANDS LÄN</t>
        </is>
      </c>
      <c r="G480" t="inlineStr">
        <is>
          <t>FLEN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46286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46286</v>
      </c>
      <c r="F482" t="inlineStr">
        <is>
          <t>SÖDERMANLANDS LÄN</t>
        </is>
      </c>
      <c r="G482" t="inlineStr">
        <is>
          <t>FLEN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34097-2026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46286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46286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46286</v>
      </c>
      <c r="F485" t="inlineStr">
        <is>
          <t>SÖDERMANLANDS LÄN</t>
        </is>
      </c>
      <c r="G485" t="inlineStr">
        <is>
          <t>FLEN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46286</v>
      </c>
      <c r="F486" t="inlineStr">
        <is>
          <t>SÖDERMANLANDS LÄN</t>
        </is>
      </c>
      <c r="G486" t="inlineStr">
        <is>
          <t>FLEN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46286</v>
      </c>
      <c r="F487" t="inlineStr">
        <is>
          <t>SÖDERMANLANDS LÄN</t>
        </is>
      </c>
      <c r="G487" t="inlineStr">
        <is>
          <t>FLEN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45256</v>
      </c>
      <c r="E488" s="1" t="n">
        <v>46286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45007</v>
      </c>
      <c r="E489" s="1" t="n">
        <v>46286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45448</v>
      </c>
      <c r="E490" s="1" t="n">
        <v>46286</v>
      </c>
      <c r="F490" t="inlineStr">
        <is>
          <t>SÖDERMANLANDS LÄN</t>
        </is>
      </c>
      <c r="G490" t="inlineStr">
        <is>
          <t>FLEN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46286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46266</v>
      </c>
      <c r="E492" s="1" t="n">
        <v>46286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13233-2024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45386</v>
      </c>
      <c r="E493" s="1" t="n">
        <v>46286</v>
      </c>
      <c r="F493" t="inlineStr">
        <is>
          <t>SÖDERMANLANDS LÄN</t>
        </is>
      </c>
      <c r="G493" t="inlineStr">
        <is>
          <t>FLEN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46286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46286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8293-2022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44610</v>
      </c>
      <c r="E496" s="1" t="n">
        <v>46286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46286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14755-2023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46286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46286</v>
      </c>
      <c r="F499" t="inlineStr">
        <is>
          <t>SÖDERMANLANDS LÄN</t>
        </is>
      </c>
      <c r="G499" t="inlineStr">
        <is>
          <t>FLEN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45163</v>
      </c>
      <c r="E500" s="1" t="n">
        <v>46286</v>
      </c>
      <c r="F500" t="inlineStr">
        <is>
          <t>SÖDERMANLANDS LÄN</t>
        </is>
      </c>
      <c r="G500" t="inlineStr">
        <is>
          <t>FLEN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4899-2023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44958</v>
      </c>
      <c r="E501" s="1" t="n">
        <v>46286</v>
      </c>
      <c r="F501" t="inlineStr">
        <is>
          <t>SÖDERMANLANDS LÄN</t>
        </is>
      </c>
      <c r="G501" t="inlineStr">
        <is>
          <t>FLEN</t>
        </is>
      </c>
      <c r="H501" t="inlineStr">
        <is>
          <t>Kyrkan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20952-2025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45777</v>
      </c>
      <c r="E502" s="1" t="n">
        <v>46286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36990-2026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46273</v>
      </c>
      <c r="E503" s="1" t="n">
        <v>46286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46286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46229</v>
      </c>
      <c r="E505" s="1" t="n">
        <v>46286</v>
      </c>
      <c r="F505" t="inlineStr">
        <is>
          <t>SÖDERMANLANDS LÄN</t>
        </is>
      </c>
      <c r="G505" t="inlineStr">
        <is>
          <t>FLEN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46286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45414</v>
      </c>
      <c r="E507" s="1" t="n">
        <v>46286</v>
      </c>
      <c r="F507" t="inlineStr">
        <is>
          <t>SÖDERMANLANDS LÄN</t>
        </is>
      </c>
      <c r="G507" t="inlineStr">
        <is>
          <t>FLEN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45252</v>
      </c>
      <c r="E508" s="1" t="n">
        <v>46286</v>
      </c>
      <c r="F508" t="inlineStr">
        <is>
          <t>SÖDERMANLANDS LÄN</t>
        </is>
      </c>
      <c r="G508" t="inlineStr">
        <is>
          <t>FLEN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7960-2024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46286</v>
      </c>
      <c r="F509" t="inlineStr">
        <is>
          <t>SÖDERMANLANDS LÄN</t>
        </is>
      </c>
      <c r="G509" t="inlineStr">
        <is>
          <t>FLEN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54736-2022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44883</v>
      </c>
      <c r="E510" s="1" t="n">
        <v>46286</v>
      </c>
      <c r="F510" t="inlineStr">
        <is>
          <t>SÖDERMANLANDS LÄN</t>
        </is>
      </c>
      <c r="G510" t="inlineStr">
        <is>
          <t>FLEN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47055-2022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44852</v>
      </c>
      <c r="E511" s="1" t="n">
        <v>46286</v>
      </c>
      <c r="F511" t="inlineStr">
        <is>
          <t>SÖDERMANLANDS LÄN</t>
        </is>
      </c>
      <c r="G511" t="inlineStr">
        <is>
          <t>FLEN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45008</v>
      </c>
      <c r="E512" s="1" t="n">
        <v>46286</v>
      </c>
      <c r="F512" t="inlineStr">
        <is>
          <t>SÖDERMANLANDS LÄN</t>
        </is>
      </c>
      <c r="G512" t="inlineStr">
        <is>
          <t>FLEN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22989-2025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45790</v>
      </c>
      <c r="E513" s="1" t="n">
        <v>46286</v>
      </c>
      <c r="F513" t="inlineStr">
        <is>
          <t>SÖDERMANLANDS LÄN</t>
        </is>
      </c>
      <c r="G513" t="inlineStr">
        <is>
          <t>FLEN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46286</v>
      </c>
      <c r="F514" t="inlineStr">
        <is>
          <t>SÖDERMANLANDS LÄN</t>
        </is>
      </c>
      <c r="G514" t="inlineStr">
        <is>
          <t>FLEN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45790</v>
      </c>
      <c r="E515" s="1" t="n">
        <v>46286</v>
      </c>
      <c r="F515" t="inlineStr">
        <is>
          <t>SÖDERMANLANDS LÄN</t>
        </is>
      </c>
      <c r="G515" t="inlineStr">
        <is>
          <t>FLEN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46249</v>
      </c>
      <c r="E516" s="1" t="n">
        <v>46286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46286</v>
      </c>
      <c r="F517" t="inlineStr">
        <is>
          <t>SÖDERMANLANDS LÄN</t>
        </is>
      </c>
      <c r="G517" t="inlineStr">
        <is>
          <t>FLEN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46286</v>
      </c>
      <c r="F518" t="inlineStr">
        <is>
          <t>SÖDERMANLANDS LÄN</t>
        </is>
      </c>
      <c r="G518" t="inlineStr">
        <is>
          <t>FLEN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46286</v>
      </c>
      <c r="F519" t="inlineStr">
        <is>
          <t>SÖDERMANLANDS LÄN</t>
        </is>
      </c>
      <c r="G519" t="inlineStr">
        <is>
          <t>FLEN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46286</v>
      </c>
      <c r="F520" t="inlineStr">
        <is>
          <t>SÖDERMANLANDS LÄN</t>
        </is>
      </c>
      <c r="G520" t="inlineStr">
        <is>
          <t>FLEN</t>
        </is>
      </c>
      <c r="I520" t="n">
        <v>9.5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45798</v>
      </c>
      <c r="E521" s="1" t="n">
        <v>46286</v>
      </c>
      <c r="F521" t="inlineStr">
        <is>
          <t>SÖDERMANLANDS LÄN</t>
        </is>
      </c>
      <c r="G521" t="inlineStr">
        <is>
          <t>FLEN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46286</v>
      </c>
      <c r="F522" t="inlineStr">
        <is>
          <t>SÖDERMANLANDS LÄN</t>
        </is>
      </c>
      <c r="G522" t="inlineStr">
        <is>
          <t>FLEN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45702</v>
      </c>
      <c r="E523" s="1" t="n">
        <v>46286</v>
      </c>
      <c r="F523" t="inlineStr">
        <is>
          <t>SÖDERMANLANDS LÄN</t>
        </is>
      </c>
      <c r="G523" t="inlineStr">
        <is>
          <t>FLEN</t>
        </is>
      </c>
      <c r="I523" t="n">
        <v>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46286</v>
      </c>
      <c r="F524" t="inlineStr">
        <is>
          <t>SÖDERMANLANDS LÄN</t>
        </is>
      </c>
      <c r="G524" t="inlineStr">
        <is>
          <t>FLEN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24480-2025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45798</v>
      </c>
      <c r="E525" s="1" t="n">
        <v>46286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46283</v>
      </c>
      <c r="E526" s="1" t="n">
        <v>46286</v>
      </c>
      <c r="F526" t="inlineStr">
        <is>
          <t>SÖDERMANLANDS LÄN</t>
        </is>
      </c>
      <c r="G526" t="inlineStr">
        <is>
          <t>FLEN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45684</v>
      </c>
      <c r="E527" s="1" t="n">
        <v>46286</v>
      </c>
      <c r="F527" t="inlineStr">
        <is>
          <t>SÖDERMANLANDS LÄN</t>
        </is>
      </c>
      <c r="G527" t="inlineStr">
        <is>
          <t>FLEN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46286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45830</v>
      </c>
      <c r="E529" s="1" t="n">
        <v>46286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45830</v>
      </c>
      <c r="E530" s="1" t="n">
        <v>46286</v>
      </c>
      <c r="F530" t="inlineStr">
        <is>
          <t>SÖDERMANLANDS LÄN</t>
        </is>
      </c>
      <c r="G530" t="inlineStr">
        <is>
          <t>FLEN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45702</v>
      </c>
      <c r="E531" s="1" t="n">
        <v>46286</v>
      </c>
      <c r="F531" t="inlineStr">
        <is>
          <t>SÖDERMANLANDS LÄN</t>
        </is>
      </c>
      <c r="G531" t="inlineStr">
        <is>
          <t>FLEN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46286</v>
      </c>
      <c r="F532" t="inlineStr">
        <is>
          <t>SÖDERMANLANDS LÄN</t>
        </is>
      </c>
      <c r="G532" t="inlineStr">
        <is>
          <t>FLEN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57863-2022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44899</v>
      </c>
      <c r="E533" s="1" t="n">
        <v>46286</v>
      </c>
      <c r="F533" t="inlineStr">
        <is>
          <t>SÖDERMANLANDS LÄN</t>
        </is>
      </c>
      <c r="G533" t="inlineStr">
        <is>
          <t>FLEN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46286</v>
      </c>
      <c r="F534" t="inlineStr">
        <is>
          <t>SÖDERMANLANDS LÄN</t>
        </is>
      </c>
      <c r="G534" t="inlineStr">
        <is>
          <t>FLEN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46286</v>
      </c>
      <c r="F535" t="inlineStr">
        <is>
          <t>SÖDERMANLANDS LÄN</t>
        </is>
      </c>
      <c r="G535" t="inlineStr">
        <is>
          <t>FLEN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458-2023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44964</v>
      </c>
      <c r="E536" s="1" t="n">
        <v>46286</v>
      </c>
      <c r="F536" t="inlineStr">
        <is>
          <t>SÖDERMANLANDS LÄN</t>
        </is>
      </c>
      <c r="G536" t="inlineStr">
        <is>
          <t>FLEN</t>
        </is>
      </c>
      <c r="H536" t="inlineStr">
        <is>
          <t>Kyrkan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292-2025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45686</v>
      </c>
      <c r="E537" s="1" t="n">
        <v>46286</v>
      </c>
      <c r="F537" t="inlineStr">
        <is>
          <t>SÖDERMANLANDS LÄN</t>
        </is>
      </c>
      <c r="G537" t="inlineStr">
        <is>
          <t>FLEN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3723-2022</t>
        </is>
      </c>
      <c r="B538" t="inlineStr">
        <is>
          <t>samrådsanmälan</t>
        </is>
      </c>
      <c r="C538" t="inlineStr">
        <is>
          <t>Åtgärd i nyckelbiotop</t>
        </is>
      </c>
      <c r="D538" s="1" t="n">
        <v>44742</v>
      </c>
      <c r="E538" s="1" t="n">
        <v>46286</v>
      </c>
      <c r="F538" t="inlineStr">
        <is>
          <t>SÖDERMANLANDS LÄN</t>
        </is>
      </c>
      <c r="G538" t="inlineStr">
        <is>
          <t>FLEN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482-2022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44588</v>
      </c>
      <c r="E539" s="1" t="n">
        <v>46286</v>
      </c>
      <c r="F539" t="inlineStr">
        <is>
          <t>SÖDERMANLANDS LÄN</t>
        </is>
      </c>
      <c r="G539" t="inlineStr">
        <is>
          <t>FLEN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2321-2022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44685</v>
      </c>
      <c r="E540" s="1" t="n">
        <v>46286</v>
      </c>
      <c r="F540" t="inlineStr">
        <is>
          <t>SÖDERMANLANDS LÄN</t>
        </is>
      </c>
      <c r="G540" t="inlineStr">
        <is>
          <t>FLEN</t>
        </is>
      </c>
      <c r="H540" t="inlineStr">
        <is>
          <t>Kyrkan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1976-2024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45446</v>
      </c>
      <c r="E541" s="1" t="n">
        <v>46286</v>
      </c>
      <c r="F541" t="inlineStr">
        <is>
          <t>SÖDERMANLANDS LÄN</t>
        </is>
      </c>
      <c r="G541" t="inlineStr">
        <is>
          <t>FLEN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1287-2024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45403</v>
      </c>
      <c r="E542" s="1" t="n">
        <v>46286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1528-2026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46164</v>
      </c>
      <c r="E543" s="1" t="n">
        <v>46286</v>
      </c>
      <c r="F543" t="inlineStr">
        <is>
          <t>SÖDERMANLANDS LÄN</t>
        </is>
      </c>
      <c r="G543" t="inlineStr">
        <is>
          <t>FLEN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2026-09-21T02:02:25Z</dcterms:created>
  <dcterms:modified xmlns:dcterms="http://purl.org/dc/terms/" xmlns:xsi="http://www.w3.org/2001/XMLSchema-instance" xsi:type="dcterms:W3CDTF">2026-09-21T02:02:26Z</dcterms:modified>
</cp:coreProperties>
</file>