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45742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45742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45742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45742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45742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45742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45742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45742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45742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45742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45742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45742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45742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45742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45742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45742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45742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45742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45742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45742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45742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45742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45742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45742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45742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45742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45742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45742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45742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45742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45742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45742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45742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45742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45742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45742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45742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45742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45742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45742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45742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45742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45742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45742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45742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45742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45742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45742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45742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45742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45742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45742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45742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45742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45742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45742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45742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45742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45742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45742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45742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45742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45742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45742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45742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45742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45742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45742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45742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45742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45742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45742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45742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45742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45742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45742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45742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45742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45742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45742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45742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45742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45742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45742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45742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45742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45742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45742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45742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45742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45742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45742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45742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45742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45742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45742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45742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45742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45742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45742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45742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45742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45742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45742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45742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45742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45742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45742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45742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45742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45742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45742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45742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45742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45742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45742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45742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45742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45742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45742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45742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45742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45742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45742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45742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45742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45742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45742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45742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14273-2025</t>
        </is>
      </c>
      <c r="B131" s="1" t="n">
        <v>45740</v>
      </c>
      <c r="C131" s="1" t="n">
        <v>45742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Vedskivlav</t>
        </is>
      </c>
      <c r="S131">
        <f>HYPERLINK("https://klasma.github.io/Logging_0482/artfynd/A 14273-2025 artfynd.xlsx", "A 14273-2025")</f>
        <v/>
      </c>
      <c r="T131">
        <f>HYPERLINK("https://klasma.github.io/Logging_0482/kartor/A 14273-2025 karta.png", "A 14273-2025")</f>
        <v/>
      </c>
      <c r="V131">
        <f>HYPERLINK("https://klasma.github.io/Logging_0482/klagomål/A 14273-2025 FSC-klagomål.docx", "A 14273-2025")</f>
        <v/>
      </c>
      <c r="W131">
        <f>HYPERLINK("https://klasma.github.io/Logging_0482/klagomålsmail/A 14273-2025 FSC-klagomål mail.docx", "A 14273-2025")</f>
        <v/>
      </c>
      <c r="X131">
        <f>HYPERLINK("https://klasma.github.io/Logging_0482/tillsyn/A 14273-2025 tillsynsbegäran.docx", "A 14273-2025")</f>
        <v/>
      </c>
      <c r="Y131">
        <f>HYPERLINK("https://klasma.github.io/Logging_0482/tillsynsmail/A 14273-2025 tillsynsbegäran mail.docx", "A 14273-2025")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45742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HYPERLINK("https://klasma.github.io/Logging_0482/artfynd/A 14101-2025 artfynd.xlsx", "A 14101-2025")</f>
        <v/>
      </c>
      <c r="T132">
        <f>HYPERLINK("https://klasma.github.io/Logging_0482/kartor/A 14101-2025 karta.png", "A 14101-2025")</f>
        <v/>
      </c>
      <c r="V132">
        <f>HYPERLINK("https://klasma.github.io/Logging_0482/klagomål/A 14101-2025 FSC-klagomål.docx", "A 14101-2025")</f>
        <v/>
      </c>
      <c r="W132">
        <f>HYPERLINK("https://klasma.github.io/Logging_0482/klagomålsmail/A 14101-2025 FSC-klagomål mail.docx", "A 14101-2025")</f>
        <v/>
      </c>
      <c r="X132">
        <f>HYPERLINK("https://klasma.github.io/Logging_0482/tillsyn/A 14101-2025 tillsynsbegäran.docx", "A 14101-2025")</f>
        <v/>
      </c>
      <c r="Y132">
        <f>HYPERLINK("https://klasma.github.io/Logging_0482/tillsynsmail/A 14101-2025 tillsynsbegäran mail.docx", "A 14101-2025")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45742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HYPERLINK("https://klasma.github.io/Logging_0482/artfynd/A 14113-2025 artfynd.xlsx", "A 14113-2025")</f>
        <v/>
      </c>
      <c r="T133">
        <f>HYPERLINK("https://klasma.github.io/Logging_0482/kartor/A 14113-2025 karta.png", "A 14113-2025")</f>
        <v/>
      </c>
      <c r="V133">
        <f>HYPERLINK("https://klasma.github.io/Logging_0482/klagomål/A 14113-2025 FSC-klagomål.docx", "A 14113-2025")</f>
        <v/>
      </c>
      <c r="W133">
        <f>HYPERLINK("https://klasma.github.io/Logging_0482/klagomålsmail/A 14113-2025 FSC-klagomål mail.docx", "A 14113-2025")</f>
        <v/>
      </c>
      <c r="X133">
        <f>HYPERLINK("https://klasma.github.io/Logging_0482/tillsyn/A 14113-2025 tillsynsbegäran.docx", "A 14113-2025")</f>
        <v/>
      </c>
      <c r="Y133">
        <f>HYPERLINK("https://klasma.github.io/Logging_0482/tillsynsmail/A 14113-2025 tillsynsbegäran mail.docx", "A 14113-2025")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45742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45742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45742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45742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45742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45742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45742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45742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45742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45742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45742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45742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45742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45742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45742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45742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45742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45742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45742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45742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45742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45742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45742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45742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45742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45742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45742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45742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45742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45742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45742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45742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45742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45742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45742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45742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45742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45742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45742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45742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45742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45742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45742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45742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45742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45742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45742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45742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45742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45742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45742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45742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45742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45742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45742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45742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45742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45742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45742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45742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45742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45742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45742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45742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45742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45742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45742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45742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45742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45742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45742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45742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45742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45742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45742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45742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45742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45742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45742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45742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45742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45742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45742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45742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45742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45742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45742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45742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45742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45742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45742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45742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45742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45742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45742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45742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45742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45742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45742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45742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45742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45742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45742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45742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45742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45742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45742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45742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45742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45742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45742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45742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45742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45742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45742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45742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45742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45742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45742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45742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45742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45742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45742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45742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45742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45742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45742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45742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45742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45742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45742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45742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45742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45742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45742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45742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45742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45742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45742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45742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45742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45742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45742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45742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45742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45742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45742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45742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45742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45742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45742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45742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45742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45742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45742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45742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45742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45742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45742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45742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45742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45742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45742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45742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45742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45742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45742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45742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45742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45742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45742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45742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45742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45742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45742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45742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45742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45742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45742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45742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45742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45742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45742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45742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45742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45742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45742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45742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45742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45742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45742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45742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45742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45742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45742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45742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45742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45742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45742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45742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45742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45742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45742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45742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45742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45742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45742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45742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45742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45742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45742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45742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45742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45742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45742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45742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45742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45742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45742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45742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45742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45742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45742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45742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45742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45742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45742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45742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45742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45742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45742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45742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45742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45742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45742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45742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45742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45742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45742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45742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45742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45742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45742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45742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45742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45742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45742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45742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45742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45742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45742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45742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45742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45742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45742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45742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45742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45742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45742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45742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45742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45742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45742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45742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45742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45742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45742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45742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45742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45742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45742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45742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45742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45742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45742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45742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45742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45742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45742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45742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45742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45742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45742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45742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45742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45742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45742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45742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45742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45742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45742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45742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45742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45742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45742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45742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45742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45742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45742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45742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45742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45742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45742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45742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45742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45742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45742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45742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45742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45742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45742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45742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45742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45742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45742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45742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45742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45742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45742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45742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45742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45742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45742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45742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45742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45742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45742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45742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45742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45742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45742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45742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45742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45742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45742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45742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45742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45742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45742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45742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45742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45742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45742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45742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45742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45742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45742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45742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45742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45742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45742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45742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45742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45742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45742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45742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45742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45742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45742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45742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45742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45742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45742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45742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45742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45742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45742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45742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45742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45742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45742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45742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45742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45742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45742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45742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45742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45742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45742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45742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45742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45742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45742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45742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45742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45742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45742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45742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45742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45742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45742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45742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45742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45742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45742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45742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45742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45742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45742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45742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45742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45742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45742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45742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45742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45742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45742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45742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45742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45742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45742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45742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45742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45742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45742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45742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45742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45742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45742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45742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45742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45742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45742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45742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45742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45742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45742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45742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45742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45742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45742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45742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45742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45742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45742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45742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45742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45742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45742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45742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45742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45742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45742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45742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45742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45742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45742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45742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45742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45742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45742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45742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45742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45742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45742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45742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45742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45742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45742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45742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45742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45742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45742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45742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45742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45742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45742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45742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45742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45742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45742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45742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45742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45742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45742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45742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45742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45742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45742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45742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45742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45742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45742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45742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45742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45742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45742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45742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45742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45742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45742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45742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45742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45742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45742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45742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45742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45742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45742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45742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45742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45742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45742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45742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45742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45742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45742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45742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45742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45742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45742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45742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45742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45742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45742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45742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45742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45742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45742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45742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45742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45742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45742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45742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45742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45742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45742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45742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45742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45742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45742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45742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45742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45742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45742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45742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45742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45742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45742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45742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45742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45742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45742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45742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45742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45742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45742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45742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45742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45742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45742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45742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45742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45742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45742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45742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45742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45742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45742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45742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45742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45742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45742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45742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45742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45742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45742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45742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45742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45742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45742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45742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45742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45742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45742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45742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45742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45742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45742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45742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45742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45742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45742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45742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45742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45742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45742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45742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45742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45742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45742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45742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45742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45742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45742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45742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45742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45742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45742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45742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45742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45742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45742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45742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45742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45742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45742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45742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45742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45742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45742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45742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45742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45742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45742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45742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45742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45742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45742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45742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45742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45742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45742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45742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45742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45742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45742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45742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45742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45742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45742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45742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45742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45742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45742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45742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45742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45742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45742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45742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45742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45742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45742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45742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45742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45742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45742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45742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45742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45742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45742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45742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45742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45742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45742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45742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45742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45742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45742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45742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45742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45742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45742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45742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45742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45742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45742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45742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45742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45742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45742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45742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45742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45742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45742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45742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45742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45742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45742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45742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45742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45742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45742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45742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45742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45742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45742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45742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45742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45742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45742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45742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45742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45742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45742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45742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45742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45742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45742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45742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45742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45742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45742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45742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45742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45742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45742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45742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45742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45742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45742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45742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45742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45742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45742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45742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45742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45742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45742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45742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45742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45742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45742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45742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45742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45742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45742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45742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45742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45742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45742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45742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45742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45742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45742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45742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45742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45742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45742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45742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45742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45742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45742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45742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45742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45742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45742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45742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45742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45742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45742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45742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45742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45742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45742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45742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45742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45742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45742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45742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45742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45742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45742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45742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45742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45742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45742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45742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45742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45742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45742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45742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45742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45742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45742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45742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45742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45742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45742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45742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45742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45742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45742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45742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45742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45742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45742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45742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45742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45742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45742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45742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45742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45742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45742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45742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45742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45742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45742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45742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45742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45742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45742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45742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45742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45742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45742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45742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45742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45742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45742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45742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45742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45742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45742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45742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45742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45742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45742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45742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45742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45742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45742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45742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45742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45742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45742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45742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45742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45742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45742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45742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45742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45742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45742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45742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45742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45742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45742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45742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45742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45742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45742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45742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45742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45742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45742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45742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45742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45742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45742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45742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45742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45742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45742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45742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45742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45742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45742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45742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45742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45742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45742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45742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45742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45742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45742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45742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45742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45742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45742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45742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45742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45742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45742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45742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45742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45742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45742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45742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45742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45742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45742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45742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45742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45742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45742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45742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45742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45742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45742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45742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45742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45742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45742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45742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45742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45742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45742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45742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45742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45742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45742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45742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45742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45742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45742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45742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45742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45742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45742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45742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45742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45742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45742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45742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45742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45742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45742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45742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45742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45742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45742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45742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45742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45742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45742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45742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45742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45742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45742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45742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45742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45742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45742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45742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45742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45742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45742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45742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45742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45742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45742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45742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45742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45742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45742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45742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45742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45742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45742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45742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45742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45742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45742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45742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45742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45742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45742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45742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45742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45742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45742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45742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45742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45742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45742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45742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45742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45742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45742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45742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45742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45742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45742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45742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45742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45742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45742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45742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45742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45742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45742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45742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45742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45742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45742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45742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45742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45742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45742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45742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45742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45742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45742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45742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45742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8969-2025</t>
        </is>
      </c>
      <c r="B1131" s="1" t="n">
        <v>45713</v>
      </c>
      <c r="C1131" s="1" t="n">
        <v>45742</v>
      </c>
      <c r="D1131" t="inlineStr">
        <is>
          <t>SÖDERMANLANDS LÄN</t>
        </is>
      </c>
      <c r="E1131" t="inlineStr">
        <is>
          <t>FLEN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45742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45742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45742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45742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45742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10324-2025</t>
        </is>
      </c>
      <c r="B1137" s="1" t="n">
        <v>45720</v>
      </c>
      <c r="C1137" s="1" t="n">
        <v>45742</v>
      </c>
      <c r="D1137" t="inlineStr">
        <is>
          <t>SÖDERMANLANDS LÄN</t>
        </is>
      </c>
      <c r="E1137" t="inlineStr">
        <is>
          <t>FLEN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45742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45742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45742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45742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45742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45742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14040-2025</t>
        </is>
      </c>
      <c r="B1144" s="1" t="n">
        <v>45740</v>
      </c>
      <c r="C1144" s="1" t="n">
        <v>45742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14106-2025</t>
        </is>
      </c>
      <c r="B1145" s="1" t="n">
        <v>45740</v>
      </c>
      <c r="C1145" s="1" t="n">
        <v>45742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14117-2025</t>
        </is>
      </c>
      <c r="B1146" s="1" t="n">
        <v>45740</v>
      </c>
      <c r="C1146" s="1" t="n">
        <v>45742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14260-2025</t>
        </is>
      </c>
      <c r="B1147" s="1" t="n">
        <v>45740</v>
      </c>
      <c r="C1147" s="1" t="n">
        <v>45742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2025-03-26T17:31:57Z</dcterms:created>
  <dcterms:modified xmlns:dcterms="http://purl.org/dc/terms/" xmlns:xsi="http://www.w3.org/2001/XMLSchema-instance" xsi:type="dcterms:W3CDTF">2025-03-26T17:31:58Z</dcterms:modified>
</cp:coreProperties>
</file>