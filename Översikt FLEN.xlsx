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45338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45338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45338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45338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45338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45338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45338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45338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45338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45338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45338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45338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45338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45338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45338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45338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45338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45338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45338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45338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45338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45338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45338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45338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45338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45338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45338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45338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45338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45338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45338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45338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45338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45338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45338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45338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45338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45338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45338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45338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45338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45338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45338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45338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45338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45338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45338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45338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45338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45338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45338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45338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45338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45338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45338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45338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45338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45338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45338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45338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45338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45338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45338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45338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45338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45338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45338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45338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45338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45338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45338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45338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45338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45338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45338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45338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45338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35316-2018</t>
        </is>
      </c>
      <c r="B80" s="1" t="n">
        <v>43324</v>
      </c>
      <c r="C80" s="1" t="n">
        <v>45338</v>
      </c>
      <c r="D80" t="inlineStr">
        <is>
          <t>SÖDERMANLANDS LÄN</t>
        </is>
      </c>
      <c r="E80" t="inlineStr">
        <is>
          <t>FLEN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37594-2018</t>
        </is>
      </c>
      <c r="B81" s="1" t="n">
        <v>43334</v>
      </c>
      <c r="C81" s="1" t="n">
        <v>45338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41385-2018</t>
        </is>
      </c>
      <c r="B82" s="1" t="n">
        <v>43347</v>
      </c>
      <c r="C82" s="1" t="n">
        <v>45338</v>
      </c>
      <c r="D82" t="inlineStr">
        <is>
          <t>SÖDERMANLANDS LÄN</t>
        </is>
      </c>
      <c r="E82" t="inlineStr">
        <is>
          <t>FLEN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41479-2018</t>
        </is>
      </c>
      <c r="B83" s="1" t="n">
        <v>43347</v>
      </c>
      <c r="C83" s="1" t="n">
        <v>45338</v>
      </c>
      <c r="D83" t="inlineStr">
        <is>
          <t>SÖDERMANLANDS LÄN</t>
        </is>
      </c>
      <c r="E83" t="inlineStr">
        <is>
          <t>FLEN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41549-2018</t>
        </is>
      </c>
      <c r="B84" s="1" t="n">
        <v>43347</v>
      </c>
      <c r="C84" s="1" t="n">
        <v>45338</v>
      </c>
      <c r="D84" t="inlineStr">
        <is>
          <t>SÖDERMANLANDS LÄN</t>
        </is>
      </c>
      <c r="E84" t="inlineStr">
        <is>
          <t>FLEN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41412-2018</t>
        </is>
      </c>
      <c r="B85" s="1" t="n">
        <v>43347</v>
      </c>
      <c r="C85" s="1" t="n">
        <v>45338</v>
      </c>
      <c r="D85" t="inlineStr">
        <is>
          <t>SÖDERMANLANDS LÄN</t>
        </is>
      </c>
      <c r="E85" t="inlineStr">
        <is>
          <t>FLEN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41400-2018</t>
        </is>
      </c>
      <c r="B86" s="1" t="n">
        <v>43347</v>
      </c>
      <c r="C86" s="1" t="n">
        <v>45338</v>
      </c>
      <c r="D86" t="inlineStr">
        <is>
          <t>SÖDERMANLANDS LÄN</t>
        </is>
      </c>
      <c r="E86" t="inlineStr">
        <is>
          <t>FLEN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44784-2018</t>
        </is>
      </c>
      <c r="B87" s="1" t="n">
        <v>43357</v>
      </c>
      <c r="C87" s="1" t="n">
        <v>45338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47304-2018</t>
        </is>
      </c>
      <c r="B88" s="1" t="n">
        <v>43368</v>
      </c>
      <c r="C88" s="1" t="n">
        <v>45338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47611-2018</t>
        </is>
      </c>
      <c r="B89" s="1" t="n">
        <v>43368</v>
      </c>
      <c r="C89" s="1" t="n">
        <v>45338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48634-2018</t>
        </is>
      </c>
      <c r="B90" s="1" t="n">
        <v>43370</v>
      </c>
      <c r="C90" s="1" t="n">
        <v>45338</v>
      </c>
      <c r="D90" t="inlineStr">
        <is>
          <t>SÖDERMANLANDS LÄN</t>
        </is>
      </c>
      <c r="E90" t="inlineStr">
        <is>
          <t>FLEN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49041-2018</t>
        </is>
      </c>
      <c r="B91" s="1" t="n">
        <v>43371</v>
      </c>
      <c r="C91" s="1" t="n">
        <v>45338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49513-2018</t>
        </is>
      </c>
      <c r="B92" s="1" t="n">
        <v>43374</v>
      </c>
      <c r="C92" s="1" t="n">
        <v>45338</v>
      </c>
      <c r="D92" t="inlineStr">
        <is>
          <t>SÖDERMANLANDS LÄN</t>
        </is>
      </c>
      <c r="E92" t="inlineStr">
        <is>
          <t>FLEN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52300-2018</t>
        </is>
      </c>
      <c r="B93" s="1" t="n">
        <v>43388</v>
      </c>
      <c r="C93" s="1" t="n">
        <v>45338</v>
      </c>
      <c r="D93" t="inlineStr">
        <is>
          <t>SÖDERMANLANDS LÄN</t>
        </is>
      </c>
      <c r="E93" t="inlineStr">
        <is>
          <t>FLEN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53568-2018</t>
        </is>
      </c>
      <c r="B94" s="1" t="n">
        <v>43388</v>
      </c>
      <c r="C94" s="1" t="n">
        <v>45338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56602-2018</t>
        </is>
      </c>
      <c r="B95" s="1" t="n">
        <v>43395</v>
      </c>
      <c r="C95" s="1" t="n">
        <v>45338</v>
      </c>
      <c r="D95" t="inlineStr">
        <is>
          <t>SÖDERMANLANDS LÄN</t>
        </is>
      </c>
      <c r="E95" t="inlineStr">
        <is>
          <t>FLEN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57760-2018</t>
        </is>
      </c>
      <c r="B96" s="1" t="n">
        <v>43397</v>
      </c>
      <c r="C96" s="1" t="n">
        <v>45338</v>
      </c>
      <c r="D96" t="inlineStr">
        <is>
          <t>SÖDERMANLANDS LÄN</t>
        </is>
      </c>
      <c r="E96" t="inlineStr">
        <is>
          <t>FLEN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57452-2018</t>
        </is>
      </c>
      <c r="B97" s="1" t="n">
        <v>43404</v>
      </c>
      <c r="C97" s="1" t="n">
        <v>45338</v>
      </c>
      <c r="D97" t="inlineStr">
        <is>
          <t>SÖDERMANLANDS LÄN</t>
        </is>
      </c>
      <c r="E97" t="inlineStr">
        <is>
          <t>FLEN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58752-2018</t>
        </is>
      </c>
      <c r="B98" s="1" t="n">
        <v>43410</v>
      </c>
      <c r="C98" s="1" t="n">
        <v>45338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60069-2018</t>
        </is>
      </c>
      <c r="B99" s="1" t="n">
        <v>43412</v>
      </c>
      <c r="C99" s="1" t="n">
        <v>45338</v>
      </c>
      <c r="D99" t="inlineStr">
        <is>
          <t>SÖDERMANLANDS LÄN</t>
        </is>
      </c>
      <c r="E99" t="inlineStr">
        <is>
          <t>FLEN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61211-2018</t>
        </is>
      </c>
      <c r="B100" s="1" t="n">
        <v>43423</v>
      </c>
      <c r="C100" s="1" t="n">
        <v>45338</v>
      </c>
      <c r="D100" t="inlineStr">
        <is>
          <t>SÖDERMANLANDS LÄN</t>
        </is>
      </c>
      <c r="E100" t="inlineStr">
        <is>
          <t>FLEN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61404-2018</t>
        </is>
      </c>
      <c r="B101" s="1" t="n">
        <v>43424</v>
      </c>
      <c r="C101" s="1" t="n">
        <v>45338</v>
      </c>
      <c r="D101" t="inlineStr">
        <is>
          <t>SÖDERMANLANDS LÄN</t>
        </is>
      </c>
      <c r="E101" t="inlineStr">
        <is>
          <t>FLEN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62559-2018</t>
        </is>
      </c>
      <c r="B102" s="1" t="n">
        <v>43426</v>
      </c>
      <c r="C102" s="1" t="n">
        <v>45338</v>
      </c>
      <c r="D102" t="inlineStr">
        <is>
          <t>SÖDERMANLANDS LÄN</t>
        </is>
      </c>
      <c r="E102" t="inlineStr">
        <is>
          <t>FLEN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62534-2018</t>
        </is>
      </c>
      <c r="B103" s="1" t="n">
        <v>43426</v>
      </c>
      <c r="C103" s="1" t="n">
        <v>45338</v>
      </c>
      <c r="D103" t="inlineStr">
        <is>
          <t>SÖDERMANLANDS LÄN</t>
        </is>
      </c>
      <c r="E103" t="inlineStr">
        <is>
          <t>FLEN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62558-2018</t>
        </is>
      </c>
      <c r="B104" s="1" t="n">
        <v>43426</v>
      </c>
      <c r="C104" s="1" t="n">
        <v>45338</v>
      </c>
      <c r="D104" t="inlineStr">
        <is>
          <t>SÖDERMANLANDS LÄN</t>
        </is>
      </c>
      <c r="E104" t="inlineStr">
        <is>
          <t>FLEN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66862-2018</t>
        </is>
      </c>
      <c r="B105" s="1" t="n">
        <v>43431</v>
      </c>
      <c r="C105" s="1" t="n">
        <v>45338</v>
      </c>
      <c r="D105" t="inlineStr">
        <is>
          <t>SÖDERMANLANDS LÄN</t>
        </is>
      </c>
      <c r="E105" t="inlineStr">
        <is>
          <t>FLEN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67010-2018</t>
        </is>
      </c>
      <c r="B106" s="1" t="n">
        <v>43431</v>
      </c>
      <c r="C106" s="1" t="n">
        <v>45338</v>
      </c>
      <c r="D106" t="inlineStr">
        <is>
          <t>SÖDERMANLANDS LÄN</t>
        </is>
      </c>
      <c r="E106" t="inlineStr">
        <is>
          <t>FLEN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65759-2018</t>
        </is>
      </c>
      <c r="B107" s="1" t="n">
        <v>43433</v>
      </c>
      <c r="C107" s="1" t="n">
        <v>45338</v>
      </c>
      <c r="D107" t="inlineStr">
        <is>
          <t>SÖDERMANLANDS LÄN</t>
        </is>
      </c>
      <c r="E107" t="inlineStr">
        <is>
          <t>FLEN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66433-2018</t>
        </is>
      </c>
      <c r="B108" s="1" t="n">
        <v>43437</v>
      </c>
      <c r="C108" s="1" t="n">
        <v>45338</v>
      </c>
      <c r="D108" t="inlineStr">
        <is>
          <t>SÖDERMANLANDS LÄN</t>
        </is>
      </c>
      <c r="E108" t="inlineStr">
        <is>
          <t>FLEN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68736-2018</t>
        </is>
      </c>
      <c r="B109" s="1" t="n">
        <v>43444</v>
      </c>
      <c r="C109" s="1" t="n">
        <v>45338</v>
      </c>
      <c r="D109" t="inlineStr">
        <is>
          <t>SÖDERMANLANDS LÄN</t>
        </is>
      </c>
      <c r="E109" t="inlineStr">
        <is>
          <t>FLEN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69529-2018</t>
        </is>
      </c>
      <c r="B110" s="1" t="n">
        <v>43446</v>
      </c>
      <c r="C110" s="1" t="n">
        <v>45338</v>
      </c>
      <c r="D110" t="inlineStr">
        <is>
          <t>SÖDERMANLANDS LÄN</t>
        </is>
      </c>
      <c r="E110" t="inlineStr">
        <is>
          <t>FLEN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70409-2018</t>
        </is>
      </c>
      <c r="B111" s="1" t="n">
        <v>43450</v>
      </c>
      <c r="C111" s="1" t="n">
        <v>45338</v>
      </c>
      <c r="D111" t="inlineStr">
        <is>
          <t>SÖDERMANLANDS LÄN</t>
        </is>
      </c>
      <c r="E111" t="inlineStr">
        <is>
          <t>FLEN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72283-2018</t>
        </is>
      </c>
      <c r="B112" s="1" t="n">
        <v>43455</v>
      </c>
      <c r="C112" s="1" t="n">
        <v>45338</v>
      </c>
      <c r="D112" t="inlineStr">
        <is>
          <t>SÖDERMANLANDS LÄN</t>
        </is>
      </c>
      <c r="E112" t="inlineStr">
        <is>
          <t>FLEN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1050-2019</t>
        </is>
      </c>
      <c r="B113" s="1" t="n">
        <v>43472</v>
      </c>
      <c r="C113" s="1" t="n">
        <v>45338</v>
      </c>
      <c r="D113" t="inlineStr">
        <is>
          <t>SÖDERMANLANDS LÄN</t>
        </is>
      </c>
      <c r="E113" t="inlineStr">
        <is>
          <t>FLEN</t>
        </is>
      </c>
      <c r="G113" t="n">
        <v>22.5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2586-2019</t>
        </is>
      </c>
      <c r="B114" s="1" t="n">
        <v>43476</v>
      </c>
      <c r="C114" s="1" t="n">
        <v>45338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4195-2019</t>
        </is>
      </c>
      <c r="B115" s="1" t="n">
        <v>43483</v>
      </c>
      <c r="C115" s="1" t="n">
        <v>45338</v>
      </c>
      <c r="D115" t="inlineStr">
        <is>
          <t>SÖDERMANLANDS LÄN</t>
        </is>
      </c>
      <c r="E115" t="inlineStr">
        <is>
          <t>FLEN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7215-2019</t>
        </is>
      </c>
      <c r="B116" s="1" t="n">
        <v>43490</v>
      </c>
      <c r="C116" s="1" t="n">
        <v>45338</v>
      </c>
      <c r="D116" t="inlineStr">
        <is>
          <t>SÖDERMANLANDS LÄN</t>
        </is>
      </c>
      <c r="E116" t="inlineStr">
        <is>
          <t>FLEN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7773-2019</t>
        </is>
      </c>
      <c r="B117" s="1" t="n">
        <v>43494</v>
      </c>
      <c r="C117" s="1" t="n">
        <v>45338</v>
      </c>
      <c r="D117" t="inlineStr">
        <is>
          <t>SÖDERMANLANDS LÄN</t>
        </is>
      </c>
      <c r="E117" t="inlineStr">
        <is>
          <t>FLEN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6989-2019</t>
        </is>
      </c>
      <c r="B118" s="1" t="n">
        <v>43495</v>
      </c>
      <c r="C118" s="1" t="n">
        <v>45338</v>
      </c>
      <c r="D118" t="inlineStr">
        <is>
          <t>SÖDERMANLANDS LÄN</t>
        </is>
      </c>
      <c r="E118" t="inlineStr">
        <is>
          <t>FLEN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7548-2019</t>
        </is>
      </c>
      <c r="B119" s="1" t="n">
        <v>43497</v>
      </c>
      <c r="C119" s="1" t="n">
        <v>45338</v>
      </c>
      <c r="D119" t="inlineStr">
        <is>
          <t>SÖDERMANLANDS LÄN</t>
        </is>
      </c>
      <c r="E119" t="inlineStr">
        <is>
          <t>FLEN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8621-2019</t>
        </is>
      </c>
      <c r="B120" s="1" t="n">
        <v>43503</v>
      </c>
      <c r="C120" s="1" t="n">
        <v>45338</v>
      </c>
      <c r="D120" t="inlineStr">
        <is>
          <t>SÖDERMANLANDS LÄN</t>
        </is>
      </c>
      <c r="E120" t="inlineStr">
        <is>
          <t>FLEN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10716-2019</t>
        </is>
      </c>
      <c r="B121" s="1" t="n">
        <v>43514</v>
      </c>
      <c r="C121" s="1" t="n">
        <v>45338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12228-2019</t>
        </is>
      </c>
      <c r="B122" s="1" t="n">
        <v>43522</v>
      </c>
      <c r="C122" s="1" t="n">
        <v>45338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12227-2019</t>
        </is>
      </c>
      <c r="B123" s="1" t="n">
        <v>43522</v>
      </c>
      <c r="C123" s="1" t="n">
        <v>45338</v>
      </c>
      <c r="D123" t="inlineStr">
        <is>
          <t>SÖDERMANLANDS LÄN</t>
        </is>
      </c>
      <c r="E123" t="inlineStr">
        <is>
          <t>FLEN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13641-2019</t>
        </is>
      </c>
      <c r="B124" s="1" t="n">
        <v>43530</v>
      </c>
      <c r="C124" s="1" t="n">
        <v>45338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13476-2019</t>
        </is>
      </c>
      <c r="B125" s="1" t="n">
        <v>43530</v>
      </c>
      <c r="C125" s="1" t="n">
        <v>45338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14503-2019</t>
        </is>
      </c>
      <c r="B126" s="1" t="n">
        <v>43535</v>
      </c>
      <c r="C126" s="1" t="n">
        <v>45338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15110-2019</t>
        </is>
      </c>
      <c r="B127" s="1" t="n">
        <v>43538</v>
      </c>
      <c r="C127" s="1" t="n">
        <v>45338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15573-2019</t>
        </is>
      </c>
      <c r="B128" s="1" t="n">
        <v>43539</v>
      </c>
      <c r="C128" s="1" t="n">
        <v>45338</v>
      </c>
      <c r="D128" t="inlineStr">
        <is>
          <t>SÖDERMANLANDS LÄN</t>
        </is>
      </c>
      <c r="E128" t="inlineStr">
        <is>
          <t>FLEN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15575-2019</t>
        </is>
      </c>
      <c r="B129" s="1" t="n">
        <v>43539</v>
      </c>
      <c r="C129" s="1" t="n">
        <v>45338</v>
      </c>
      <c r="D129" t="inlineStr">
        <is>
          <t>SÖDERMANLANDS LÄN</t>
        </is>
      </c>
      <c r="E129" t="inlineStr">
        <is>
          <t>FLEN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16152-2019</t>
        </is>
      </c>
      <c r="B130" s="1" t="n">
        <v>43544</v>
      </c>
      <c r="C130" s="1" t="n">
        <v>45338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17302-2019</t>
        </is>
      </c>
      <c r="B131" s="1" t="n">
        <v>43551</v>
      </c>
      <c r="C131" s="1" t="n">
        <v>45338</v>
      </c>
      <c r="D131" t="inlineStr">
        <is>
          <t>SÖDERMANLANDS LÄN</t>
        </is>
      </c>
      <c r="E131" t="inlineStr">
        <is>
          <t>FLEN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18391-2019</t>
        </is>
      </c>
      <c r="B132" s="1" t="n">
        <v>43558</v>
      </c>
      <c r="C132" s="1" t="n">
        <v>45338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18543-2019</t>
        </is>
      </c>
      <c r="B133" s="1" t="n">
        <v>43558</v>
      </c>
      <c r="C133" s="1" t="n">
        <v>45338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18700-2019</t>
        </is>
      </c>
      <c r="B134" s="1" t="n">
        <v>43559</v>
      </c>
      <c r="C134" s="1" t="n">
        <v>45338</v>
      </c>
      <c r="D134" t="inlineStr">
        <is>
          <t>SÖDERMANLANDS LÄN</t>
        </is>
      </c>
      <c r="E134" t="inlineStr">
        <is>
          <t>FLEN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18688-2019</t>
        </is>
      </c>
      <c r="B135" s="1" t="n">
        <v>43559</v>
      </c>
      <c r="C135" s="1" t="n">
        <v>45338</v>
      </c>
      <c r="D135" t="inlineStr">
        <is>
          <t>SÖDERMANLANDS LÄN</t>
        </is>
      </c>
      <c r="E135" t="inlineStr">
        <is>
          <t>FLEN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18645-2019</t>
        </is>
      </c>
      <c r="B136" s="1" t="n">
        <v>43560</v>
      </c>
      <c r="C136" s="1" t="n">
        <v>45338</v>
      </c>
      <c r="D136" t="inlineStr">
        <is>
          <t>SÖDERMANLANDS LÄN</t>
        </is>
      </c>
      <c r="E136" t="inlineStr">
        <is>
          <t>FLEN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18824-2019</t>
        </is>
      </c>
      <c r="B137" s="1" t="n">
        <v>43560</v>
      </c>
      <c r="C137" s="1" t="n">
        <v>45338</v>
      </c>
      <c r="D137" t="inlineStr">
        <is>
          <t>SÖDERMANLANDS LÄN</t>
        </is>
      </c>
      <c r="E137" t="inlineStr">
        <is>
          <t>FLEN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19395-2019</t>
        </is>
      </c>
      <c r="B138" s="1" t="n">
        <v>43565</v>
      </c>
      <c r="C138" s="1" t="n">
        <v>45338</v>
      </c>
      <c r="D138" t="inlineStr">
        <is>
          <t>SÖDERMANLANDS LÄN</t>
        </is>
      </c>
      <c r="E138" t="inlineStr">
        <is>
          <t>FLEN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19834-2019</t>
        </is>
      </c>
      <c r="B139" s="1" t="n">
        <v>43567</v>
      </c>
      <c r="C139" s="1" t="n">
        <v>45338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20284-2019</t>
        </is>
      </c>
      <c r="B140" s="1" t="n">
        <v>43570</v>
      </c>
      <c r="C140" s="1" t="n">
        <v>45338</v>
      </c>
      <c r="D140" t="inlineStr">
        <is>
          <t>SÖDERMANLANDS LÄN</t>
        </is>
      </c>
      <c r="E140" t="inlineStr">
        <is>
          <t>FLEN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21920-2019</t>
        </is>
      </c>
      <c r="B141" s="1" t="n">
        <v>43584</v>
      </c>
      <c r="C141" s="1" t="n">
        <v>45338</v>
      </c>
      <c r="D141" t="inlineStr">
        <is>
          <t>SÖDERMANLANDS LÄN</t>
        </is>
      </c>
      <c r="E141" t="inlineStr">
        <is>
          <t>FLEN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28911-2019</t>
        </is>
      </c>
      <c r="B142" s="1" t="n">
        <v>43616</v>
      </c>
      <c r="C142" s="1" t="n">
        <v>45338</v>
      </c>
      <c r="D142" t="inlineStr">
        <is>
          <t>SÖDERMANLANDS LÄN</t>
        </is>
      </c>
      <c r="E142" t="inlineStr">
        <is>
          <t>FLEN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28058-2019</t>
        </is>
      </c>
      <c r="B143" s="1" t="n">
        <v>43621</v>
      </c>
      <c r="C143" s="1" t="n">
        <v>45338</v>
      </c>
      <c r="D143" t="inlineStr">
        <is>
          <t>SÖDERMANLANDS LÄN</t>
        </is>
      </c>
      <c r="E143" t="inlineStr">
        <is>
          <t>FLEN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29977-2019</t>
        </is>
      </c>
      <c r="B144" s="1" t="n">
        <v>43630</v>
      </c>
      <c r="C144" s="1" t="n">
        <v>45338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30492-2019</t>
        </is>
      </c>
      <c r="B145" s="1" t="n">
        <v>43635</v>
      </c>
      <c r="C145" s="1" t="n">
        <v>45338</v>
      </c>
      <c r="D145" t="inlineStr">
        <is>
          <t>SÖDERMANLANDS LÄN</t>
        </is>
      </c>
      <c r="E145" t="inlineStr">
        <is>
          <t>FLEN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30872-2019</t>
        </is>
      </c>
      <c r="B146" s="1" t="n">
        <v>43636</v>
      </c>
      <c r="C146" s="1" t="n">
        <v>45338</v>
      </c>
      <c r="D146" t="inlineStr">
        <is>
          <t>SÖDERMANLANDS LÄN</t>
        </is>
      </c>
      <c r="E146" t="inlineStr">
        <is>
          <t>FLEN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32070-2019</t>
        </is>
      </c>
      <c r="B147" s="1" t="n">
        <v>43643</v>
      </c>
      <c r="C147" s="1" t="n">
        <v>45338</v>
      </c>
      <c r="D147" t="inlineStr">
        <is>
          <t>SÖDERMANLANDS LÄN</t>
        </is>
      </c>
      <c r="E147" t="inlineStr">
        <is>
          <t>FLEN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32889-2019</t>
        </is>
      </c>
      <c r="B148" s="1" t="n">
        <v>43643</v>
      </c>
      <c r="C148" s="1" t="n">
        <v>45338</v>
      </c>
      <c r="D148" t="inlineStr">
        <is>
          <t>SÖDERMANLANDS LÄN</t>
        </is>
      </c>
      <c r="E148" t="inlineStr">
        <is>
          <t>FLEN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35583-2019</t>
        </is>
      </c>
      <c r="B149" s="1" t="n">
        <v>43655</v>
      </c>
      <c r="C149" s="1" t="n">
        <v>45338</v>
      </c>
      <c r="D149" t="inlineStr">
        <is>
          <t>SÖDERMANLANDS LÄN</t>
        </is>
      </c>
      <c r="E149" t="inlineStr">
        <is>
          <t>FLEN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34988-2019</t>
        </is>
      </c>
      <c r="B150" s="1" t="n">
        <v>43659</v>
      </c>
      <c r="C150" s="1" t="n">
        <v>45338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35086-2019</t>
        </is>
      </c>
      <c r="B151" s="1" t="n">
        <v>43661</v>
      </c>
      <c r="C151" s="1" t="n">
        <v>45338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35052-2019</t>
        </is>
      </c>
      <c r="B152" s="1" t="n">
        <v>43661</v>
      </c>
      <c r="C152" s="1" t="n">
        <v>45338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35182-2019</t>
        </is>
      </c>
      <c r="B153" s="1" t="n">
        <v>43661</v>
      </c>
      <c r="C153" s="1" t="n">
        <v>45338</v>
      </c>
      <c r="D153" t="inlineStr">
        <is>
          <t>SÖDERMANLANDS LÄN</t>
        </is>
      </c>
      <c r="E153" t="inlineStr">
        <is>
          <t>FLEN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35702-2019</t>
        </is>
      </c>
      <c r="B154" s="1" t="n">
        <v>43664</v>
      </c>
      <c r="C154" s="1" t="n">
        <v>45338</v>
      </c>
      <c r="D154" t="inlineStr">
        <is>
          <t>SÖDERMANLANDS LÄN</t>
        </is>
      </c>
      <c r="E154" t="inlineStr">
        <is>
          <t>FLEN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36152-2019</t>
        </is>
      </c>
      <c r="B155" s="1" t="n">
        <v>43668</v>
      </c>
      <c r="C155" s="1" t="n">
        <v>45338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36223-2019</t>
        </is>
      </c>
      <c r="B156" s="1" t="n">
        <v>43669</v>
      </c>
      <c r="C156" s="1" t="n">
        <v>45338</v>
      </c>
      <c r="D156" t="inlineStr">
        <is>
          <t>SÖDERMANLANDS LÄN</t>
        </is>
      </c>
      <c r="E156" t="inlineStr">
        <is>
          <t>FLEN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36612-2019</t>
        </is>
      </c>
      <c r="B157" s="1" t="n">
        <v>43669</v>
      </c>
      <c r="C157" s="1" t="n">
        <v>45338</v>
      </c>
      <c r="D157" t="inlineStr">
        <is>
          <t>SÖDERMANLANDS LÄN</t>
        </is>
      </c>
      <c r="E157" t="inlineStr">
        <is>
          <t>FLEN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36225-2019</t>
        </is>
      </c>
      <c r="B158" s="1" t="n">
        <v>43669</v>
      </c>
      <c r="C158" s="1" t="n">
        <v>45338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36619-2019</t>
        </is>
      </c>
      <c r="B159" s="1" t="n">
        <v>43669</v>
      </c>
      <c r="C159" s="1" t="n">
        <v>45338</v>
      </c>
      <c r="D159" t="inlineStr">
        <is>
          <t>SÖDERMANLANDS LÄN</t>
        </is>
      </c>
      <c r="E159" t="inlineStr">
        <is>
          <t>FLEN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36901-2019</t>
        </is>
      </c>
      <c r="B160" s="1" t="n">
        <v>43675</v>
      </c>
      <c r="C160" s="1" t="n">
        <v>45338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36978-2019</t>
        </is>
      </c>
      <c r="B161" s="1" t="n">
        <v>43676</v>
      </c>
      <c r="C161" s="1" t="n">
        <v>45338</v>
      </c>
      <c r="D161" t="inlineStr">
        <is>
          <t>SÖDERMANLANDS LÄN</t>
        </is>
      </c>
      <c r="E161" t="inlineStr">
        <is>
          <t>FLEN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36994-2019</t>
        </is>
      </c>
      <c r="B162" s="1" t="n">
        <v>43676</v>
      </c>
      <c r="C162" s="1" t="n">
        <v>45338</v>
      </c>
      <c r="D162" t="inlineStr">
        <is>
          <t>SÖDERMANLANDS LÄN</t>
        </is>
      </c>
      <c r="E162" t="inlineStr">
        <is>
          <t>FLEN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37337-2019</t>
        </is>
      </c>
      <c r="B163" s="1" t="n">
        <v>43678</v>
      </c>
      <c r="C163" s="1" t="n">
        <v>45338</v>
      </c>
      <c r="D163" t="inlineStr">
        <is>
          <t>SÖDERMANLANDS LÄN</t>
        </is>
      </c>
      <c r="E163" t="inlineStr">
        <is>
          <t>FLEN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37574-2019</t>
        </is>
      </c>
      <c r="B164" s="1" t="n">
        <v>43679</v>
      </c>
      <c r="C164" s="1" t="n">
        <v>45338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37560-2019</t>
        </is>
      </c>
      <c r="B165" s="1" t="n">
        <v>43679</v>
      </c>
      <c r="C165" s="1" t="n">
        <v>45338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37571-2019</t>
        </is>
      </c>
      <c r="B166" s="1" t="n">
        <v>43679</v>
      </c>
      <c r="C166" s="1" t="n">
        <v>45338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37572-2019</t>
        </is>
      </c>
      <c r="B167" s="1" t="n">
        <v>43679</v>
      </c>
      <c r="C167" s="1" t="n">
        <v>45338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37769-2019</t>
        </is>
      </c>
      <c r="B168" s="1" t="n">
        <v>43682</v>
      </c>
      <c r="C168" s="1" t="n">
        <v>45338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38241-2019</t>
        </is>
      </c>
      <c r="B169" s="1" t="n">
        <v>43684</v>
      </c>
      <c r="C169" s="1" t="n">
        <v>45338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38795-2019</t>
        </is>
      </c>
      <c r="B170" s="1" t="n">
        <v>43688</v>
      </c>
      <c r="C170" s="1" t="n">
        <v>45338</v>
      </c>
      <c r="D170" t="inlineStr">
        <is>
          <t>SÖDERMANLANDS LÄN</t>
        </is>
      </c>
      <c r="E170" t="inlineStr">
        <is>
          <t>FLEN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38796-2019</t>
        </is>
      </c>
      <c r="B171" s="1" t="n">
        <v>43688</v>
      </c>
      <c r="C171" s="1" t="n">
        <v>45338</v>
      </c>
      <c r="D171" t="inlineStr">
        <is>
          <t>SÖDERMANLANDS LÄN</t>
        </is>
      </c>
      <c r="E171" t="inlineStr">
        <is>
          <t>FLEN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39441-2019</t>
        </is>
      </c>
      <c r="B172" s="1" t="n">
        <v>43691</v>
      </c>
      <c r="C172" s="1" t="n">
        <v>45338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41114-2019</t>
        </is>
      </c>
      <c r="B173" s="1" t="n">
        <v>43691</v>
      </c>
      <c r="C173" s="1" t="n">
        <v>45338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40314-2019</t>
        </is>
      </c>
      <c r="B174" s="1" t="n">
        <v>43696</v>
      </c>
      <c r="C174" s="1" t="n">
        <v>45338</v>
      </c>
      <c r="D174" t="inlineStr">
        <is>
          <t>SÖDERMANLANDS LÄN</t>
        </is>
      </c>
      <c r="E174" t="inlineStr">
        <is>
          <t>FLEN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41847-2019</t>
        </is>
      </c>
      <c r="B175" s="1" t="n">
        <v>43697</v>
      </c>
      <c r="C175" s="1" t="n">
        <v>45338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46628-2019</t>
        </is>
      </c>
      <c r="B176" s="1" t="n">
        <v>43717</v>
      </c>
      <c r="C176" s="1" t="n">
        <v>45338</v>
      </c>
      <c r="D176" t="inlineStr">
        <is>
          <t>SÖDERMANLANDS LÄN</t>
        </is>
      </c>
      <c r="E176" t="inlineStr">
        <is>
          <t>FLEN</t>
        </is>
      </c>
      <c r="G176" t="n">
        <v>16.2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47345-2019</t>
        </is>
      </c>
      <c r="B177" s="1" t="n">
        <v>43721</v>
      </c>
      <c r="C177" s="1" t="n">
        <v>45338</v>
      </c>
      <c r="D177" t="inlineStr">
        <is>
          <t>SÖDERMANLANDS LÄN</t>
        </is>
      </c>
      <c r="E177" t="inlineStr">
        <is>
          <t>FLEN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48078-2019</t>
        </is>
      </c>
      <c r="B178" s="1" t="n">
        <v>43725</v>
      </c>
      <c r="C178" s="1" t="n">
        <v>45338</v>
      </c>
      <c r="D178" t="inlineStr">
        <is>
          <t>SÖDERMANLANDS LÄN</t>
        </is>
      </c>
      <c r="E178" t="inlineStr">
        <is>
          <t>FLEN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48240-2019</t>
        </is>
      </c>
      <c r="B179" s="1" t="n">
        <v>43726</v>
      </c>
      <c r="C179" s="1" t="n">
        <v>45338</v>
      </c>
      <c r="D179" t="inlineStr">
        <is>
          <t>SÖDERMANLANDS LÄN</t>
        </is>
      </c>
      <c r="E179" t="inlineStr">
        <is>
          <t>FLEN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49342-2019</t>
        </is>
      </c>
      <c r="B180" s="1" t="n">
        <v>43730</v>
      </c>
      <c r="C180" s="1" t="n">
        <v>45338</v>
      </c>
      <c r="D180" t="inlineStr">
        <is>
          <t>SÖDERMANLANDS LÄN</t>
        </is>
      </c>
      <c r="E180" t="inlineStr">
        <is>
          <t>FLEN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50710-2019</t>
        </is>
      </c>
      <c r="B181" s="1" t="n">
        <v>43738</v>
      </c>
      <c r="C181" s="1" t="n">
        <v>45338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51170-2019</t>
        </is>
      </c>
      <c r="B182" s="1" t="n">
        <v>43739</v>
      </c>
      <c r="C182" s="1" t="n">
        <v>45338</v>
      </c>
      <c r="D182" t="inlineStr">
        <is>
          <t>SÖDERMANLANDS LÄN</t>
        </is>
      </c>
      <c r="E182" t="inlineStr">
        <is>
          <t>FLEN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51738-2019</t>
        </is>
      </c>
      <c r="B183" s="1" t="n">
        <v>43740</v>
      </c>
      <c r="C183" s="1" t="n">
        <v>45338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54175-2019</t>
        </is>
      </c>
      <c r="B184" s="1" t="n">
        <v>43745</v>
      </c>
      <c r="C184" s="1" t="n">
        <v>45338</v>
      </c>
      <c r="D184" t="inlineStr">
        <is>
          <t>SÖDERMANLANDS LÄN</t>
        </is>
      </c>
      <c r="E184" t="inlineStr">
        <is>
          <t>FLEN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52871-2019</t>
        </is>
      </c>
      <c r="B185" s="1" t="n">
        <v>43746</v>
      </c>
      <c r="C185" s="1" t="n">
        <v>45338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54412-2019</t>
        </is>
      </c>
      <c r="B186" s="1" t="n">
        <v>43747</v>
      </c>
      <c r="C186" s="1" t="n">
        <v>45338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55088-2019</t>
        </is>
      </c>
      <c r="B187" s="1" t="n">
        <v>43752</v>
      </c>
      <c r="C187" s="1" t="n">
        <v>45338</v>
      </c>
      <c r="D187" t="inlineStr">
        <is>
          <t>SÖDERMANLANDS LÄN</t>
        </is>
      </c>
      <c r="E187" t="inlineStr">
        <is>
          <t>FLEN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55122-2019</t>
        </is>
      </c>
      <c r="B188" s="1" t="n">
        <v>43752</v>
      </c>
      <c r="C188" s="1" t="n">
        <v>45338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54307-2019</t>
        </is>
      </c>
      <c r="B189" s="1" t="n">
        <v>43753</v>
      </c>
      <c r="C189" s="1" t="n">
        <v>45338</v>
      </c>
      <c r="D189" t="inlineStr">
        <is>
          <t>SÖDERMANLANDS LÄN</t>
        </is>
      </c>
      <c r="E189" t="inlineStr">
        <is>
          <t>FLEN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55346-2019</t>
        </is>
      </c>
      <c r="B190" s="1" t="n">
        <v>43756</v>
      </c>
      <c r="C190" s="1" t="n">
        <v>45338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55417-2019</t>
        </is>
      </c>
      <c r="B191" s="1" t="n">
        <v>43758</v>
      </c>
      <c r="C191" s="1" t="n">
        <v>45338</v>
      </c>
      <c r="D191" t="inlineStr">
        <is>
          <t>SÖDERMANLANDS LÄN</t>
        </is>
      </c>
      <c r="E191" t="inlineStr">
        <is>
          <t>FLEN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55421-2019</t>
        </is>
      </c>
      <c r="B192" s="1" t="n">
        <v>43758</v>
      </c>
      <c r="C192" s="1" t="n">
        <v>45338</v>
      </c>
      <c r="D192" t="inlineStr">
        <is>
          <t>SÖDERMANLANDS LÄN</t>
        </is>
      </c>
      <c r="E192" t="inlineStr">
        <is>
          <t>FLEN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57898-2019</t>
        </is>
      </c>
      <c r="B193" s="1" t="n">
        <v>43762</v>
      </c>
      <c r="C193" s="1" t="n">
        <v>45338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58909-2019</t>
        </is>
      </c>
      <c r="B194" s="1" t="n">
        <v>43769</v>
      </c>
      <c r="C194" s="1" t="n">
        <v>45338</v>
      </c>
      <c r="D194" t="inlineStr">
        <is>
          <t>SÖDERMANLANDS LÄN</t>
        </is>
      </c>
      <c r="E194" t="inlineStr">
        <is>
          <t>FLEN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59014-2019</t>
        </is>
      </c>
      <c r="B195" s="1" t="n">
        <v>43774</v>
      </c>
      <c r="C195" s="1" t="n">
        <v>45338</v>
      </c>
      <c r="D195" t="inlineStr">
        <is>
          <t>SÖDERMANLANDS LÄN</t>
        </is>
      </c>
      <c r="E195" t="inlineStr">
        <is>
          <t>FLEN</t>
        </is>
      </c>
      <c r="F195" t="inlineStr">
        <is>
          <t>Kommuner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59454-2019</t>
        </is>
      </c>
      <c r="B196" s="1" t="n">
        <v>43776</v>
      </c>
      <c r="C196" s="1" t="n">
        <v>45338</v>
      </c>
      <c r="D196" t="inlineStr">
        <is>
          <t>SÖDERMANLANDS LÄN</t>
        </is>
      </c>
      <c r="E196" t="inlineStr">
        <is>
          <t>FLEN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59448-2019</t>
        </is>
      </c>
      <c r="B197" s="1" t="n">
        <v>43776</v>
      </c>
      <c r="C197" s="1" t="n">
        <v>45338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59750-2019</t>
        </is>
      </c>
      <c r="B198" s="1" t="n">
        <v>43776</v>
      </c>
      <c r="C198" s="1" t="n">
        <v>45338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59446-2019</t>
        </is>
      </c>
      <c r="B199" s="1" t="n">
        <v>43776</v>
      </c>
      <c r="C199" s="1" t="n">
        <v>45338</v>
      </c>
      <c r="D199" t="inlineStr">
        <is>
          <t>SÖDERMANLANDS LÄN</t>
        </is>
      </c>
      <c r="E199" t="inlineStr">
        <is>
          <t>FLEN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61889-2019</t>
        </is>
      </c>
      <c r="B200" s="1" t="n">
        <v>43787</v>
      </c>
      <c r="C200" s="1" t="n">
        <v>45338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64580-2019</t>
        </is>
      </c>
      <c r="B201" s="1" t="n">
        <v>43794</v>
      </c>
      <c r="C201" s="1" t="n">
        <v>45338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63758-2019</t>
        </is>
      </c>
      <c r="B202" s="1" t="n">
        <v>43795</v>
      </c>
      <c r="C202" s="1" t="n">
        <v>45338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64576-2019</t>
        </is>
      </c>
      <c r="B203" s="1" t="n">
        <v>43798</v>
      </c>
      <c r="C203" s="1" t="n">
        <v>45338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65346-2019</t>
        </is>
      </c>
      <c r="B204" s="1" t="n">
        <v>43803</v>
      </c>
      <c r="C204" s="1" t="n">
        <v>45338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68476-2019</t>
        </is>
      </c>
      <c r="B205" s="1" t="n">
        <v>43811</v>
      </c>
      <c r="C205" s="1" t="n">
        <v>45338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68491-2019</t>
        </is>
      </c>
      <c r="B206" s="1" t="n">
        <v>43811</v>
      </c>
      <c r="C206" s="1" t="n">
        <v>45338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68481-2019</t>
        </is>
      </c>
      <c r="B207" s="1" t="n">
        <v>43811</v>
      </c>
      <c r="C207" s="1" t="n">
        <v>45338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68976-2019</t>
        </is>
      </c>
      <c r="B208" s="1" t="n">
        <v>43823</v>
      </c>
      <c r="C208" s="1" t="n">
        <v>45338</v>
      </c>
      <c r="D208" t="inlineStr">
        <is>
          <t>SÖDERMANLANDS LÄN</t>
        </is>
      </c>
      <c r="E208" t="inlineStr">
        <is>
          <t>FLEN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82-2020</t>
        </is>
      </c>
      <c r="B209" s="1" t="n">
        <v>43832</v>
      </c>
      <c r="C209" s="1" t="n">
        <v>45338</v>
      </c>
      <c r="D209" t="inlineStr">
        <is>
          <t>SÖDERMANLANDS LÄN</t>
        </is>
      </c>
      <c r="E209" t="inlineStr">
        <is>
          <t>FLEN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235-2020</t>
        </is>
      </c>
      <c r="B210" s="1" t="n">
        <v>43834</v>
      </c>
      <c r="C210" s="1" t="n">
        <v>45338</v>
      </c>
      <c r="D210" t="inlineStr">
        <is>
          <t>SÖDERMANLANDS LÄN</t>
        </is>
      </c>
      <c r="E210" t="inlineStr">
        <is>
          <t>FLEN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236-2020</t>
        </is>
      </c>
      <c r="B211" s="1" t="n">
        <v>43834</v>
      </c>
      <c r="C211" s="1" t="n">
        <v>45338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1007-2020</t>
        </is>
      </c>
      <c r="B212" s="1" t="n">
        <v>43839</v>
      </c>
      <c r="C212" s="1" t="n">
        <v>45338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4033-2020</t>
        </is>
      </c>
      <c r="B213" s="1" t="n">
        <v>43846</v>
      </c>
      <c r="C213" s="1" t="n">
        <v>45338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2538-2020</t>
        </is>
      </c>
      <c r="B214" s="1" t="n">
        <v>43847</v>
      </c>
      <c r="C214" s="1" t="n">
        <v>45338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3831-2020</t>
        </is>
      </c>
      <c r="B215" s="1" t="n">
        <v>43847</v>
      </c>
      <c r="C215" s="1" t="n">
        <v>45338</v>
      </c>
      <c r="D215" t="inlineStr">
        <is>
          <t>SÖDERMANLANDS LÄN</t>
        </is>
      </c>
      <c r="E215" t="inlineStr">
        <is>
          <t>FLEN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3619-2020</t>
        </is>
      </c>
      <c r="B216" s="1" t="n">
        <v>43853</v>
      </c>
      <c r="C216" s="1" t="n">
        <v>45338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4092-2020</t>
        </is>
      </c>
      <c r="B217" s="1" t="n">
        <v>43857</v>
      </c>
      <c r="C217" s="1" t="n">
        <v>45338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5777-2020</t>
        </is>
      </c>
      <c r="B218" s="1" t="n">
        <v>43864</v>
      </c>
      <c r="C218" s="1" t="n">
        <v>45338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7747-2020</t>
        </is>
      </c>
      <c r="B219" s="1" t="n">
        <v>43872</v>
      </c>
      <c r="C219" s="1" t="n">
        <v>45338</v>
      </c>
      <c r="D219" t="inlineStr">
        <is>
          <t>SÖDERMANLANDS LÄN</t>
        </is>
      </c>
      <c r="E219" t="inlineStr">
        <is>
          <t>FLEN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7941-2020</t>
        </is>
      </c>
      <c r="B220" s="1" t="n">
        <v>43873</v>
      </c>
      <c r="C220" s="1" t="n">
        <v>45338</v>
      </c>
      <c r="D220" t="inlineStr">
        <is>
          <t>SÖDERMANLANDS LÄN</t>
        </is>
      </c>
      <c r="E220" t="inlineStr">
        <is>
          <t>FLEN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9740-2020</t>
        </is>
      </c>
      <c r="B221" s="1" t="n">
        <v>43881</v>
      </c>
      <c r="C221" s="1" t="n">
        <v>45338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10193-2020</t>
        </is>
      </c>
      <c r="B222" s="1" t="n">
        <v>43885</v>
      </c>
      <c r="C222" s="1" t="n">
        <v>45338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11059-2020</t>
        </is>
      </c>
      <c r="B223" s="1" t="n">
        <v>43885</v>
      </c>
      <c r="C223" s="1" t="n">
        <v>45338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10705-2020</t>
        </is>
      </c>
      <c r="B224" s="1" t="n">
        <v>43888</v>
      </c>
      <c r="C224" s="1" t="n">
        <v>45338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10918-2020</t>
        </is>
      </c>
      <c r="B225" s="1" t="n">
        <v>43889</v>
      </c>
      <c r="C225" s="1" t="n">
        <v>45338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10913-2020</t>
        </is>
      </c>
      <c r="B226" s="1" t="n">
        <v>43889</v>
      </c>
      <c r="C226" s="1" t="n">
        <v>45338</v>
      </c>
      <c r="D226" t="inlineStr">
        <is>
          <t>SÖDERMANLANDS LÄN</t>
        </is>
      </c>
      <c r="E226" t="inlineStr">
        <is>
          <t>FLEN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11517-2020</t>
        </is>
      </c>
      <c r="B227" s="1" t="n">
        <v>43893</v>
      </c>
      <c r="C227" s="1" t="n">
        <v>45338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11811-2020</t>
        </is>
      </c>
      <c r="B228" s="1" t="n">
        <v>43894</v>
      </c>
      <c r="C228" s="1" t="n">
        <v>45338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13194-2020</t>
        </is>
      </c>
      <c r="B229" s="1" t="n">
        <v>43901</v>
      </c>
      <c r="C229" s="1" t="n">
        <v>45338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13255-2020</t>
        </is>
      </c>
      <c r="B230" s="1" t="n">
        <v>43901</v>
      </c>
      <c r="C230" s="1" t="n">
        <v>45338</v>
      </c>
      <c r="D230" t="inlineStr">
        <is>
          <t>SÖDERMANLANDS LÄN</t>
        </is>
      </c>
      <c r="E230" t="inlineStr">
        <is>
          <t>FLEN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13251-2020</t>
        </is>
      </c>
      <c r="B231" s="1" t="n">
        <v>43901</v>
      </c>
      <c r="C231" s="1" t="n">
        <v>45338</v>
      </c>
      <c r="D231" t="inlineStr">
        <is>
          <t>SÖDERMANLANDS LÄN</t>
        </is>
      </c>
      <c r="E231" t="inlineStr">
        <is>
          <t>FLEN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13473-2020</t>
        </is>
      </c>
      <c r="B232" s="1" t="n">
        <v>43902</v>
      </c>
      <c r="C232" s="1" t="n">
        <v>45338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13698-2020</t>
        </is>
      </c>
      <c r="B233" s="1" t="n">
        <v>43902</v>
      </c>
      <c r="C233" s="1" t="n">
        <v>45338</v>
      </c>
      <c r="D233" t="inlineStr">
        <is>
          <t>SÖDERMANLANDS LÄN</t>
        </is>
      </c>
      <c r="E233" t="inlineStr">
        <is>
          <t>FLEN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14200-2020</t>
        </is>
      </c>
      <c r="B234" s="1" t="n">
        <v>43907</v>
      </c>
      <c r="C234" s="1" t="n">
        <v>45338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14229-2020</t>
        </is>
      </c>
      <c r="B235" s="1" t="n">
        <v>43907</v>
      </c>
      <c r="C235" s="1" t="n">
        <v>45338</v>
      </c>
      <c r="D235" t="inlineStr">
        <is>
          <t>SÖDERMANLANDS LÄN</t>
        </is>
      </c>
      <c r="E235" t="inlineStr">
        <is>
          <t>FLEN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15132-2020</t>
        </is>
      </c>
      <c r="B236" s="1" t="n">
        <v>43911</v>
      </c>
      <c r="C236" s="1" t="n">
        <v>45338</v>
      </c>
      <c r="D236" t="inlineStr">
        <is>
          <t>SÖDERMANLANDS LÄN</t>
        </is>
      </c>
      <c r="E236" t="inlineStr">
        <is>
          <t>FLEN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16206-2020</t>
        </is>
      </c>
      <c r="B237" s="1" t="n">
        <v>43917</v>
      </c>
      <c r="C237" s="1" t="n">
        <v>45338</v>
      </c>
      <c r="D237" t="inlineStr">
        <is>
          <t>SÖDERMANLANDS LÄN</t>
        </is>
      </c>
      <c r="E237" t="inlineStr">
        <is>
          <t>FLEN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16684-2020</t>
        </is>
      </c>
      <c r="B238" s="1" t="n">
        <v>43920</v>
      </c>
      <c r="C238" s="1" t="n">
        <v>45338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17154-2020</t>
        </is>
      </c>
      <c r="B239" s="1" t="n">
        <v>43922</v>
      </c>
      <c r="C239" s="1" t="n">
        <v>45338</v>
      </c>
      <c r="D239" t="inlineStr">
        <is>
          <t>SÖDERMANLANDS LÄN</t>
        </is>
      </c>
      <c r="E239" t="inlineStr">
        <is>
          <t>FLEN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20002-2020</t>
        </is>
      </c>
      <c r="B240" s="1" t="n">
        <v>43943</v>
      </c>
      <c r="C240" s="1" t="n">
        <v>45338</v>
      </c>
      <c r="D240" t="inlineStr">
        <is>
          <t>SÖDERMANLANDS LÄN</t>
        </is>
      </c>
      <c r="E240" t="inlineStr">
        <is>
          <t>FLEN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20527-2020</t>
        </is>
      </c>
      <c r="B241" s="1" t="n">
        <v>43948</v>
      </c>
      <c r="C241" s="1" t="n">
        <v>45338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21401-2020</t>
        </is>
      </c>
      <c r="B242" s="1" t="n">
        <v>43955</v>
      </c>
      <c r="C242" s="1" t="n">
        <v>45338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21404-2020</t>
        </is>
      </c>
      <c r="B243" s="1" t="n">
        <v>43955</v>
      </c>
      <c r="C243" s="1" t="n">
        <v>45338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22347-2020</t>
        </is>
      </c>
      <c r="B244" s="1" t="n">
        <v>43957</v>
      </c>
      <c r="C244" s="1" t="n">
        <v>45338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21902-2020</t>
        </is>
      </c>
      <c r="B245" s="1" t="n">
        <v>43958</v>
      </c>
      <c r="C245" s="1" t="n">
        <v>45338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22237-2020</t>
        </is>
      </c>
      <c r="B246" s="1" t="n">
        <v>43959</v>
      </c>
      <c r="C246" s="1" t="n">
        <v>45338</v>
      </c>
      <c r="D246" t="inlineStr">
        <is>
          <t>SÖDERMANLANDS LÄN</t>
        </is>
      </c>
      <c r="E246" t="inlineStr">
        <is>
          <t>FLEN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22243-2020</t>
        </is>
      </c>
      <c r="B247" s="1" t="n">
        <v>43959</v>
      </c>
      <c r="C247" s="1" t="n">
        <v>45338</v>
      </c>
      <c r="D247" t="inlineStr">
        <is>
          <t>SÖDERMANLANDS LÄN</t>
        </is>
      </c>
      <c r="E247" t="inlineStr">
        <is>
          <t>FLEN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22241-2020</t>
        </is>
      </c>
      <c r="B248" s="1" t="n">
        <v>43959</v>
      </c>
      <c r="C248" s="1" t="n">
        <v>45338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25067-2020</t>
        </is>
      </c>
      <c r="B249" s="1" t="n">
        <v>43979</v>
      </c>
      <c r="C249" s="1" t="n">
        <v>45338</v>
      </c>
      <c r="D249" t="inlineStr">
        <is>
          <t>SÖDERMANLANDS LÄN</t>
        </is>
      </c>
      <c r="E249" t="inlineStr">
        <is>
          <t>FLEN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25280-2020</t>
        </is>
      </c>
      <c r="B250" s="1" t="n">
        <v>43980</v>
      </c>
      <c r="C250" s="1" t="n">
        <v>45338</v>
      </c>
      <c r="D250" t="inlineStr">
        <is>
          <t>SÖDERMANLANDS LÄN</t>
        </is>
      </c>
      <c r="E250" t="inlineStr">
        <is>
          <t>FLEN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25842-2020</t>
        </is>
      </c>
      <c r="B251" s="1" t="n">
        <v>43983</v>
      </c>
      <c r="C251" s="1" t="n">
        <v>45338</v>
      </c>
      <c r="D251" t="inlineStr">
        <is>
          <t>SÖDERMANLANDS LÄN</t>
        </is>
      </c>
      <c r="E251" t="inlineStr">
        <is>
          <t>FLEN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25466-2020</t>
        </is>
      </c>
      <c r="B252" s="1" t="n">
        <v>43983</v>
      </c>
      <c r="C252" s="1" t="n">
        <v>45338</v>
      </c>
      <c r="D252" t="inlineStr">
        <is>
          <t>SÖDERMANLANDS LÄN</t>
        </is>
      </c>
      <c r="E252" t="inlineStr">
        <is>
          <t>FLEN</t>
        </is>
      </c>
      <c r="G252" t="n">
        <v>30.4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25880-2020</t>
        </is>
      </c>
      <c r="B253" s="1" t="n">
        <v>43983</v>
      </c>
      <c r="C253" s="1" t="n">
        <v>45338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26063-2020</t>
        </is>
      </c>
      <c r="B254" s="1" t="n">
        <v>43985</v>
      </c>
      <c r="C254" s="1" t="n">
        <v>45338</v>
      </c>
      <c r="D254" t="inlineStr">
        <is>
          <t>SÖDERMANLANDS LÄN</t>
        </is>
      </c>
      <c r="E254" t="inlineStr">
        <is>
          <t>FLEN</t>
        </is>
      </c>
      <c r="G254" t="n">
        <v>22.3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28981-2020</t>
        </is>
      </c>
      <c r="B255" s="1" t="n">
        <v>43998</v>
      </c>
      <c r="C255" s="1" t="n">
        <v>45338</v>
      </c>
      <c r="D255" t="inlineStr">
        <is>
          <t>SÖDERMANLANDS LÄN</t>
        </is>
      </c>
      <c r="E255" t="inlineStr">
        <is>
          <t>FLEN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28562-2020</t>
        </is>
      </c>
      <c r="B256" s="1" t="n">
        <v>43999</v>
      </c>
      <c r="C256" s="1" t="n">
        <v>45338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28676-2020</t>
        </is>
      </c>
      <c r="B257" s="1" t="n">
        <v>43999</v>
      </c>
      <c r="C257" s="1" t="n">
        <v>45338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29455-2020</t>
        </is>
      </c>
      <c r="B258" s="1" t="n">
        <v>44004</v>
      </c>
      <c r="C258" s="1" t="n">
        <v>45338</v>
      </c>
      <c r="D258" t="inlineStr">
        <is>
          <t>SÖDERMANLANDS LÄN</t>
        </is>
      </c>
      <c r="E258" t="inlineStr">
        <is>
          <t>FLEN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29557-2020</t>
        </is>
      </c>
      <c r="B259" s="1" t="n">
        <v>44005</v>
      </c>
      <c r="C259" s="1" t="n">
        <v>45338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30209-2020</t>
        </is>
      </c>
      <c r="B260" s="1" t="n">
        <v>44007</v>
      </c>
      <c r="C260" s="1" t="n">
        <v>45338</v>
      </c>
      <c r="D260" t="inlineStr">
        <is>
          <t>SÖDERMANLANDS LÄN</t>
        </is>
      </c>
      <c r="E260" t="inlineStr">
        <is>
          <t>FLEN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30879-2020</t>
        </is>
      </c>
      <c r="B261" s="1" t="n">
        <v>44011</v>
      </c>
      <c r="C261" s="1" t="n">
        <v>45338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30871-2020</t>
        </is>
      </c>
      <c r="B262" s="1" t="n">
        <v>44011</v>
      </c>
      <c r="C262" s="1" t="n">
        <v>45338</v>
      </c>
      <c r="D262" t="inlineStr">
        <is>
          <t>SÖDERMANLANDS LÄN</t>
        </is>
      </c>
      <c r="E262" t="inlineStr">
        <is>
          <t>FLEN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31118-2020</t>
        </is>
      </c>
      <c r="B263" s="1" t="n">
        <v>44012</v>
      </c>
      <c r="C263" s="1" t="n">
        <v>45338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32142-2020</t>
        </is>
      </c>
      <c r="B264" s="1" t="n">
        <v>44015</v>
      </c>
      <c r="C264" s="1" t="n">
        <v>45338</v>
      </c>
      <c r="D264" t="inlineStr">
        <is>
          <t>SÖDERMANLANDS LÄN</t>
        </is>
      </c>
      <c r="E264" t="inlineStr">
        <is>
          <t>FLEN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32366-2020</t>
        </is>
      </c>
      <c r="B265" s="1" t="n">
        <v>44018</v>
      </c>
      <c r="C265" s="1" t="n">
        <v>45338</v>
      </c>
      <c r="D265" t="inlineStr">
        <is>
          <t>SÖDERMANLANDS LÄN</t>
        </is>
      </c>
      <c r="E265" t="inlineStr">
        <is>
          <t>FLEN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32585-2020</t>
        </is>
      </c>
      <c r="B266" s="1" t="n">
        <v>44018</v>
      </c>
      <c r="C266" s="1" t="n">
        <v>45338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33146-2020</t>
        </is>
      </c>
      <c r="B267" s="1" t="n">
        <v>44021</v>
      </c>
      <c r="C267" s="1" t="n">
        <v>45338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33464-2020</t>
        </is>
      </c>
      <c r="B268" s="1" t="n">
        <v>44023</v>
      </c>
      <c r="C268" s="1" t="n">
        <v>45338</v>
      </c>
      <c r="D268" t="inlineStr">
        <is>
          <t>SÖDERMANLANDS LÄN</t>
        </is>
      </c>
      <c r="E268" t="inlineStr">
        <is>
          <t>FLEN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33682-2020</t>
        </is>
      </c>
      <c r="B269" s="1" t="n">
        <v>44026</v>
      </c>
      <c r="C269" s="1" t="n">
        <v>45338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34066-2020</t>
        </is>
      </c>
      <c r="B270" s="1" t="n">
        <v>44027</v>
      </c>
      <c r="C270" s="1" t="n">
        <v>45338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34072-2020</t>
        </is>
      </c>
      <c r="B271" s="1" t="n">
        <v>44028</v>
      </c>
      <c r="C271" s="1" t="n">
        <v>45338</v>
      </c>
      <c r="D271" t="inlineStr">
        <is>
          <t>SÖDERMANLANDS LÄN</t>
        </is>
      </c>
      <c r="E271" t="inlineStr">
        <is>
          <t>FLEN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34489-2020</t>
        </is>
      </c>
      <c r="B272" s="1" t="n">
        <v>44029</v>
      </c>
      <c r="C272" s="1" t="n">
        <v>45338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34992-2020</t>
        </is>
      </c>
      <c r="B273" s="1" t="n">
        <v>44039</v>
      </c>
      <c r="C273" s="1" t="n">
        <v>45338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35093-2020</t>
        </is>
      </c>
      <c r="B274" s="1" t="n">
        <v>44039</v>
      </c>
      <c r="C274" s="1" t="n">
        <v>45338</v>
      </c>
      <c r="D274" t="inlineStr">
        <is>
          <t>SÖDERMANLANDS LÄN</t>
        </is>
      </c>
      <c r="E274" t="inlineStr">
        <is>
          <t>FLEN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35176-2020</t>
        </is>
      </c>
      <c r="B275" s="1" t="n">
        <v>44040</v>
      </c>
      <c r="C275" s="1" t="n">
        <v>45338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35501-2020</t>
        </is>
      </c>
      <c r="B276" s="1" t="n">
        <v>44042</v>
      </c>
      <c r="C276" s="1" t="n">
        <v>45338</v>
      </c>
      <c r="D276" t="inlineStr">
        <is>
          <t>SÖDERMANLANDS LÄN</t>
        </is>
      </c>
      <c r="E276" t="inlineStr">
        <is>
          <t>FLEN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35563-2020</t>
        </is>
      </c>
      <c r="B277" s="1" t="n">
        <v>44043</v>
      </c>
      <c r="C277" s="1" t="n">
        <v>45338</v>
      </c>
      <c r="D277" t="inlineStr">
        <is>
          <t>SÖDERMANLANDS LÄN</t>
        </is>
      </c>
      <c r="E277" t="inlineStr">
        <is>
          <t>FLEN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35560-2020</t>
        </is>
      </c>
      <c r="B278" s="1" t="n">
        <v>44043</v>
      </c>
      <c r="C278" s="1" t="n">
        <v>45338</v>
      </c>
      <c r="D278" t="inlineStr">
        <is>
          <t>SÖDERMANLANDS LÄN</t>
        </is>
      </c>
      <c r="E278" t="inlineStr">
        <is>
          <t>FLEN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35817-2020</t>
        </is>
      </c>
      <c r="B279" s="1" t="n">
        <v>44047</v>
      </c>
      <c r="C279" s="1" t="n">
        <v>45338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36317-2020</t>
        </is>
      </c>
      <c r="B280" s="1" t="n">
        <v>44049</v>
      </c>
      <c r="C280" s="1" t="n">
        <v>45338</v>
      </c>
      <c r="D280" t="inlineStr">
        <is>
          <t>SÖDERMANLANDS LÄN</t>
        </is>
      </c>
      <c r="E280" t="inlineStr">
        <is>
          <t>FLEN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36366-2020</t>
        </is>
      </c>
      <c r="B281" s="1" t="n">
        <v>44049</v>
      </c>
      <c r="C281" s="1" t="n">
        <v>45338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36880-2020</t>
        </is>
      </c>
      <c r="B282" s="1" t="n">
        <v>44053</v>
      </c>
      <c r="C282" s="1" t="n">
        <v>45338</v>
      </c>
      <c r="D282" t="inlineStr">
        <is>
          <t>SÖDERMANLANDS LÄN</t>
        </is>
      </c>
      <c r="E282" t="inlineStr">
        <is>
          <t>FLEN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36891-2020</t>
        </is>
      </c>
      <c r="B283" s="1" t="n">
        <v>44053</v>
      </c>
      <c r="C283" s="1" t="n">
        <v>45338</v>
      </c>
      <c r="D283" t="inlineStr">
        <is>
          <t>SÖDERMANLANDS LÄN</t>
        </is>
      </c>
      <c r="E283" t="inlineStr">
        <is>
          <t>FLEN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37214-2020</t>
        </is>
      </c>
      <c r="B284" s="1" t="n">
        <v>44054</v>
      </c>
      <c r="C284" s="1" t="n">
        <v>45338</v>
      </c>
      <c r="D284" t="inlineStr">
        <is>
          <t>SÖDERMANLANDS LÄN</t>
        </is>
      </c>
      <c r="E284" t="inlineStr">
        <is>
          <t>FLEN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37274-2020</t>
        </is>
      </c>
      <c r="B285" s="1" t="n">
        <v>44054</v>
      </c>
      <c r="C285" s="1" t="n">
        <v>45338</v>
      </c>
      <c r="D285" t="inlineStr">
        <is>
          <t>SÖDERMANLANDS LÄN</t>
        </is>
      </c>
      <c r="E285" t="inlineStr">
        <is>
          <t>FLEN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37736-2020</t>
        </is>
      </c>
      <c r="B286" s="1" t="n">
        <v>44056</v>
      </c>
      <c r="C286" s="1" t="n">
        <v>45338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37897-2020</t>
        </is>
      </c>
      <c r="B287" s="1" t="n">
        <v>44057</v>
      </c>
      <c r="C287" s="1" t="n">
        <v>45338</v>
      </c>
      <c r="D287" t="inlineStr">
        <is>
          <t>SÖDERMANLANDS LÄN</t>
        </is>
      </c>
      <c r="E287" t="inlineStr">
        <is>
          <t>FLEN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38613-2020</t>
        </is>
      </c>
      <c r="B288" s="1" t="n">
        <v>44061</v>
      </c>
      <c r="C288" s="1" t="n">
        <v>45338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38849-2020</t>
        </is>
      </c>
      <c r="B289" s="1" t="n">
        <v>44062</v>
      </c>
      <c r="C289" s="1" t="n">
        <v>45338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38854-2020</t>
        </is>
      </c>
      <c r="B290" s="1" t="n">
        <v>44062</v>
      </c>
      <c r="C290" s="1" t="n">
        <v>45338</v>
      </c>
      <c r="D290" t="inlineStr">
        <is>
          <t>SÖDERMANLANDS LÄN</t>
        </is>
      </c>
      <c r="E290" t="inlineStr">
        <is>
          <t>FLEN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40693-2020</t>
        </is>
      </c>
      <c r="B291" s="1" t="n">
        <v>44067</v>
      </c>
      <c r="C291" s="1" t="n">
        <v>45338</v>
      </c>
      <c r="D291" t="inlineStr">
        <is>
          <t>SÖDERMANLANDS LÄN</t>
        </is>
      </c>
      <c r="E291" t="inlineStr">
        <is>
          <t>FLEN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45305-2020</t>
        </is>
      </c>
      <c r="B292" s="1" t="n">
        <v>44085</v>
      </c>
      <c r="C292" s="1" t="n">
        <v>45338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45315-2020</t>
        </is>
      </c>
      <c r="B293" s="1" t="n">
        <v>44085</v>
      </c>
      <c r="C293" s="1" t="n">
        <v>45338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45347-2020</t>
        </is>
      </c>
      <c r="B294" s="1" t="n">
        <v>44085</v>
      </c>
      <c r="C294" s="1" t="n">
        <v>45338</v>
      </c>
      <c r="D294" t="inlineStr">
        <is>
          <t>SÖDERMANLANDS LÄN</t>
        </is>
      </c>
      <c r="E294" t="inlineStr">
        <is>
          <t>FLEN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45338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47401-2020</t>
        </is>
      </c>
      <c r="B296" s="1" t="n">
        <v>44097</v>
      </c>
      <c r="C296" s="1" t="n">
        <v>45338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45338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45338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45338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45338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45338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45338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45338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45338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45338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45338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45338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45338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45338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45338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57173-2020</t>
        </is>
      </c>
      <c r="B311" s="1" t="n">
        <v>44138</v>
      </c>
      <c r="C311" s="1" t="n">
        <v>45338</v>
      </c>
      <c r="D311" t="inlineStr">
        <is>
          <t>SÖDERMANLANDS LÄN</t>
        </is>
      </c>
      <c r="E311" t="inlineStr">
        <is>
          <t>FLEN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45338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45338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45338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45338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45338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45338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45338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45338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45338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45338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45338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45338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45338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45338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45338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45338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45338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45338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45338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45338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45338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45338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45338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45338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45338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45338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45338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45338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45338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8176-2021</t>
        </is>
      </c>
      <c r="B341" s="1" t="n">
        <v>44242</v>
      </c>
      <c r="C341" s="1" t="n">
        <v>45338</v>
      </c>
      <c r="D341" t="inlineStr">
        <is>
          <t>SÖDERMANLANDS LÄN</t>
        </is>
      </c>
      <c r="E341" t="inlineStr">
        <is>
          <t>FLEN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HYPERLINK("https://klasma.github.io/Logging_0482/knärot/A 8176-2021 karta knärot.png", "A 8176-2021")</f>
        <v/>
      </c>
      <c r="V341">
        <f>HYPERLINK("https://klasma.github.io/Logging_0482/klagomål/A 8176-2021 FSC-klagomål.docx", "A 8176-2021")</f>
        <v/>
      </c>
      <c r="W341">
        <f>HYPERLINK("https://klasma.github.io/Logging_0482/klagomålsmail/A 8176-2021 FSC-klagomål mail.docx", "A 8176-2021")</f>
        <v/>
      </c>
      <c r="X341">
        <f>HYPERLINK("https://klasma.github.io/Logging_0482/tillsyn/A 8176-2021 tillsynsbegäran.docx", "A 8176-2021")</f>
        <v/>
      </c>
      <c r="Y341">
        <f>HYPERLINK("https://klasma.github.io/Logging_0482/tillsynsmail/A 8176-2021 tillsynsbegäran mail.docx", "A 8176-2021")</f>
        <v/>
      </c>
    </row>
    <row r="342" ht="15" customHeight="1">
      <c r="A342" t="inlineStr">
        <is>
          <t>A 8762-2021</t>
        </is>
      </c>
      <c r="B342" s="1" t="n">
        <v>44246</v>
      </c>
      <c r="C342" s="1" t="n">
        <v>45338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45338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45338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45338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45338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45338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45338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45338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45338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45338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45338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45338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45338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45338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45338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45338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45338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45338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45338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45338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45338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45338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45338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45338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45338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45338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45338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45338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45338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45338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45338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45338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45338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45338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45338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45338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45338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45338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45338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45338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45338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45338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45338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45338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45338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45338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45338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45338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45338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45338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45338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45338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45338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45338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45338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45338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45338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45338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45338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45338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45338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45338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45338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45338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45338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45338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45338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45338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45338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45338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45338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45338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45338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45338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45338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45338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45338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45338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45338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45338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45338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45338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45338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45338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45338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45338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45338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45338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45338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45338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45338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45338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48520-2021</t>
        </is>
      </c>
      <c r="B434" s="1" t="n">
        <v>44449</v>
      </c>
      <c r="C434" s="1" t="n">
        <v>45338</v>
      </c>
      <c r="D434" t="inlineStr">
        <is>
          <t>SÖDERMANLANDS LÄN</t>
        </is>
      </c>
      <c r="E434" t="inlineStr">
        <is>
          <t>FLEN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45338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45338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45338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45338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45338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45338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45338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45338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45338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45338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45338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45338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45338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45338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45338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45338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45338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45338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45338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45338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45338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45338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45338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45338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45338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45338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45338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45338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45338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45338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45338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45338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45338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45338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45338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45338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45338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45338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45338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45338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45338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45338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45338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45338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45338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45338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45338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45338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45338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45338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45338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45338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45338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45338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45338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45338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45338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45338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45338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45338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45338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45338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45338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45338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45338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45338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45338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45338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45338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45338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45338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45338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45338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45338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45338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45338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45338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45338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45338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45338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45338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45338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12306-2022</t>
        </is>
      </c>
      <c r="B517" s="1" t="n">
        <v>44637</v>
      </c>
      <c r="C517" s="1" t="n">
        <v>45338</v>
      </c>
      <c r="D517" t="inlineStr">
        <is>
          <t>SÖDERMANLANDS LÄN</t>
        </is>
      </c>
      <c r="E517" t="inlineStr">
        <is>
          <t>FLEN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45338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45338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45338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45338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45338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45338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45338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45338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45338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45338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45338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45338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45338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45338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45338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45338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45338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45338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45338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45338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45338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45338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45338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45338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45338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45338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45338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45338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45338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45338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45338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45338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45338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45338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45338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45338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45338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45338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45338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45338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45338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45338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45338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45338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45338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31238-2022</t>
        </is>
      </c>
      <c r="B563" s="1" t="n">
        <v>44771</v>
      </c>
      <c r="C563" s="1" t="n">
        <v>45338</v>
      </c>
      <c r="D563" t="inlineStr">
        <is>
          <t>SÖDERMANLANDS LÄN</t>
        </is>
      </c>
      <c r="E563" t="inlineStr">
        <is>
          <t>FLEN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31427-2022</t>
        </is>
      </c>
      <c r="B564" s="1" t="n">
        <v>44774</v>
      </c>
      <c r="C564" s="1" t="n">
        <v>45338</v>
      </c>
      <c r="D564" t="inlineStr">
        <is>
          <t>SÖDERMANLANDS LÄN</t>
        </is>
      </c>
      <c r="E564" t="inlineStr">
        <is>
          <t>FLEN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32023-2022</t>
        </is>
      </c>
      <c r="B565" s="1" t="n">
        <v>44778</v>
      </c>
      <c r="C565" s="1" t="n">
        <v>45338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32098-2022</t>
        </is>
      </c>
      <c r="B566" s="1" t="n">
        <v>44778</v>
      </c>
      <c r="C566" s="1" t="n">
        <v>45338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32432-2022</t>
        </is>
      </c>
      <c r="B567" s="1" t="n">
        <v>44782</v>
      </c>
      <c r="C567" s="1" t="n">
        <v>45338</v>
      </c>
      <c r="D567" t="inlineStr">
        <is>
          <t>SÖDERMANLANDS LÄN</t>
        </is>
      </c>
      <c r="E567" t="inlineStr">
        <is>
          <t>FLEN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33101-2022</t>
        </is>
      </c>
      <c r="B568" s="1" t="n">
        <v>44785</v>
      </c>
      <c r="C568" s="1" t="n">
        <v>45338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33024-2022</t>
        </is>
      </c>
      <c r="B569" s="1" t="n">
        <v>44785</v>
      </c>
      <c r="C569" s="1" t="n">
        <v>45338</v>
      </c>
      <c r="D569" t="inlineStr">
        <is>
          <t>SÖDERMANLANDS LÄN</t>
        </is>
      </c>
      <c r="E569" t="inlineStr">
        <is>
          <t>FLEN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33107-2022</t>
        </is>
      </c>
      <c r="B570" s="1" t="n">
        <v>44785</v>
      </c>
      <c r="C570" s="1" t="n">
        <v>45338</v>
      </c>
      <c r="D570" t="inlineStr">
        <is>
          <t>SÖDERMANLANDS LÄN</t>
        </is>
      </c>
      <c r="E570" t="inlineStr">
        <is>
          <t>FLEN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33103-2022</t>
        </is>
      </c>
      <c r="B571" s="1" t="n">
        <v>44785</v>
      </c>
      <c r="C571" s="1" t="n">
        <v>45338</v>
      </c>
      <c r="D571" t="inlineStr">
        <is>
          <t>SÖDERMANLANDS LÄN</t>
        </is>
      </c>
      <c r="E571" t="inlineStr">
        <is>
          <t>FLEN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33110-2022</t>
        </is>
      </c>
      <c r="B572" s="1" t="n">
        <v>44785</v>
      </c>
      <c r="C572" s="1" t="n">
        <v>45338</v>
      </c>
      <c r="D572" t="inlineStr">
        <is>
          <t>SÖDERMANLANDS LÄN</t>
        </is>
      </c>
      <c r="E572" t="inlineStr">
        <is>
          <t>FLEN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34095-2022</t>
        </is>
      </c>
      <c r="B573" s="1" t="n">
        <v>44791</v>
      </c>
      <c r="C573" s="1" t="n">
        <v>45338</v>
      </c>
      <c r="D573" t="inlineStr">
        <is>
          <t>SÖDERMANLANDS LÄN</t>
        </is>
      </c>
      <c r="E573" t="inlineStr">
        <is>
          <t>FLEN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34598-2022</t>
        </is>
      </c>
      <c r="B574" s="1" t="n">
        <v>44795</v>
      </c>
      <c r="C574" s="1" t="n">
        <v>45338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34817-2022</t>
        </is>
      </c>
      <c r="B575" s="1" t="n">
        <v>44796</v>
      </c>
      <c r="C575" s="1" t="n">
        <v>45338</v>
      </c>
      <c r="D575" t="inlineStr">
        <is>
          <t>SÖDERMANLANDS LÄN</t>
        </is>
      </c>
      <c r="E575" t="inlineStr">
        <is>
          <t>FLEN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36202-2022</t>
        </is>
      </c>
      <c r="B576" s="1" t="n">
        <v>44803</v>
      </c>
      <c r="C576" s="1" t="n">
        <v>45338</v>
      </c>
      <c r="D576" t="inlineStr">
        <is>
          <t>SÖDERMANLANDS LÄN</t>
        </is>
      </c>
      <c r="E576" t="inlineStr">
        <is>
          <t>FLEN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37257-2022</t>
        </is>
      </c>
      <c r="B577" s="1" t="n">
        <v>44807</v>
      </c>
      <c r="C577" s="1" t="n">
        <v>45338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37256-2022</t>
        </is>
      </c>
      <c r="B578" s="1" t="n">
        <v>44807</v>
      </c>
      <c r="C578" s="1" t="n">
        <v>45338</v>
      </c>
      <c r="D578" t="inlineStr">
        <is>
          <t>SÖDERMANLANDS LÄN</t>
        </is>
      </c>
      <c r="E578" t="inlineStr">
        <is>
          <t>FLEN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38832-2022</t>
        </is>
      </c>
      <c r="B579" s="1" t="n">
        <v>44814</v>
      </c>
      <c r="C579" s="1" t="n">
        <v>45338</v>
      </c>
      <c r="D579" t="inlineStr">
        <is>
          <t>SÖDERMANLANDS LÄN</t>
        </is>
      </c>
      <c r="E579" t="inlineStr">
        <is>
          <t>FLEN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39787-2022</t>
        </is>
      </c>
      <c r="B580" s="1" t="n">
        <v>44817</v>
      </c>
      <c r="C580" s="1" t="n">
        <v>45338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39673-2022</t>
        </is>
      </c>
      <c r="B581" s="1" t="n">
        <v>44818</v>
      </c>
      <c r="C581" s="1" t="n">
        <v>45338</v>
      </c>
      <c r="D581" t="inlineStr">
        <is>
          <t>SÖDERMANLANDS LÄN</t>
        </is>
      </c>
      <c r="E581" t="inlineStr">
        <is>
          <t>FLEN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39671-2022</t>
        </is>
      </c>
      <c r="B582" s="1" t="n">
        <v>44818</v>
      </c>
      <c r="C582" s="1" t="n">
        <v>45338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40198-2022</t>
        </is>
      </c>
      <c r="B583" s="1" t="n">
        <v>44818</v>
      </c>
      <c r="C583" s="1" t="n">
        <v>45338</v>
      </c>
      <c r="D583" t="inlineStr">
        <is>
          <t>SÖDERMANLANDS LÄN</t>
        </is>
      </c>
      <c r="E583" t="inlineStr">
        <is>
          <t>FLEN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39891-2022</t>
        </is>
      </c>
      <c r="B584" s="1" t="n">
        <v>44819</v>
      </c>
      <c r="C584" s="1" t="n">
        <v>45338</v>
      </c>
      <c r="D584" t="inlineStr">
        <is>
          <t>SÖDERMANLANDS LÄN</t>
        </is>
      </c>
      <c r="E584" t="inlineStr">
        <is>
          <t>FLEN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40420-2022</t>
        </is>
      </c>
      <c r="B585" s="1" t="n">
        <v>44823</v>
      </c>
      <c r="C585" s="1" t="n">
        <v>45338</v>
      </c>
      <c r="D585" t="inlineStr">
        <is>
          <t>SÖDERMANLANDS LÄN</t>
        </is>
      </c>
      <c r="E585" t="inlineStr">
        <is>
          <t>FLEN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40680-2022</t>
        </is>
      </c>
      <c r="B586" s="1" t="n">
        <v>44824</v>
      </c>
      <c r="C586" s="1" t="n">
        <v>45338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41435-2022</t>
        </is>
      </c>
      <c r="B587" s="1" t="n">
        <v>44826</v>
      </c>
      <c r="C587" s="1" t="n">
        <v>45338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42177-2022</t>
        </is>
      </c>
      <c r="B588" s="1" t="n">
        <v>44830</v>
      </c>
      <c r="C588" s="1" t="n">
        <v>45338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43267-2022</t>
        </is>
      </c>
      <c r="B589" s="1" t="n">
        <v>44834</v>
      </c>
      <c r="C589" s="1" t="n">
        <v>45338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43930-2022</t>
        </is>
      </c>
      <c r="B590" s="1" t="n">
        <v>44837</v>
      </c>
      <c r="C590" s="1" t="n">
        <v>45338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44006-2022</t>
        </is>
      </c>
      <c r="B591" s="1" t="n">
        <v>44838</v>
      </c>
      <c r="C591" s="1" t="n">
        <v>45338</v>
      </c>
      <c r="D591" t="inlineStr">
        <is>
          <t>SÖDERMANLANDS LÄN</t>
        </is>
      </c>
      <c r="E591" t="inlineStr">
        <is>
          <t>FLEN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44563-2022</t>
        </is>
      </c>
      <c r="B592" s="1" t="n">
        <v>44838</v>
      </c>
      <c r="C592" s="1" t="n">
        <v>45338</v>
      </c>
      <c r="D592" t="inlineStr">
        <is>
          <t>SÖDERMANLANDS LÄN</t>
        </is>
      </c>
      <c r="E592" t="inlineStr">
        <is>
          <t>FLEN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44592-2022</t>
        </is>
      </c>
      <c r="B593" s="1" t="n">
        <v>44838</v>
      </c>
      <c r="C593" s="1" t="n">
        <v>45338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44552-2022</t>
        </is>
      </c>
      <c r="B594" s="1" t="n">
        <v>44838</v>
      </c>
      <c r="C594" s="1" t="n">
        <v>45338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44172-2022</t>
        </is>
      </c>
      <c r="B595" s="1" t="n">
        <v>44839</v>
      </c>
      <c r="C595" s="1" t="n">
        <v>45338</v>
      </c>
      <c r="D595" t="inlineStr">
        <is>
          <t>SÖDERMANLANDS LÄN</t>
        </is>
      </c>
      <c r="E595" t="inlineStr">
        <is>
          <t>FLEN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44161-2022</t>
        </is>
      </c>
      <c r="B596" s="1" t="n">
        <v>44839</v>
      </c>
      <c r="C596" s="1" t="n">
        <v>45338</v>
      </c>
      <c r="D596" t="inlineStr">
        <is>
          <t>SÖDERMANLANDS LÄN</t>
        </is>
      </c>
      <c r="E596" t="inlineStr">
        <is>
          <t>FLEN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45594-2022</t>
        </is>
      </c>
      <c r="B597" s="1" t="n">
        <v>44841</v>
      </c>
      <c r="C597" s="1" t="n">
        <v>45338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46414-2022</t>
        </is>
      </c>
      <c r="B598" s="1" t="n">
        <v>44846</v>
      </c>
      <c r="C598" s="1" t="n">
        <v>45338</v>
      </c>
      <c r="D598" t="inlineStr">
        <is>
          <t>SÖDERMANLANDS LÄN</t>
        </is>
      </c>
      <c r="E598" t="inlineStr">
        <is>
          <t>FLEN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46401-2022</t>
        </is>
      </c>
      <c r="B599" s="1" t="n">
        <v>44846</v>
      </c>
      <c r="C599" s="1" t="n">
        <v>45338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46567-2022</t>
        </is>
      </c>
      <c r="B600" s="1" t="n">
        <v>44848</v>
      </c>
      <c r="C600" s="1" t="n">
        <v>45338</v>
      </c>
      <c r="D600" t="inlineStr">
        <is>
          <t>SÖDERMANLANDS LÄN</t>
        </is>
      </c>
      <c r="E600" t="inlineStr">
        <is>
          <t>FLEN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47187-2022</t>
        </is>
      </c>
      <c r="B601" s="1" t="n">
        <v>44848</v>
      </c>
      <c r="C601" s="1" t="n">
        <v>45338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47194-2022</t>
        </is>
      </c>
      <c r="B602" s="1" t="n">
        <v>44848</v>
      </c>
      <c r="C602" s="1" t="n">
        <v>45338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47182-2022</t>
        </is>
      </c>
      <c r="B603" s="1" t="n">
        <v>44851</v>
      </c>
      <c r="C603" s="1" t="n">
        <v>45338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47055-2022</t>
        </is>
      </c>
      <c r="B604" s="1" t="n">
        <v>44852</v>
      </c>
      <c r="C604" s="1" t="n">
        <v>45338</v>
      </c>
      <c r="D604" t="inlineStr">
        <is>
          <t>SÖDERMANLANDS LÄN</t>
        </is>
      </c>
      <c r="E604" t="inlineStr">
        <is>
          <t>FLEN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47754-2022</t>
        </is>
      </c>
      <c r="B605" s="1" t="n">
        <v>44854</v>
      </c>
      <c r="C605" s="1" t="n">
        <v>45338</v>
      </c>
      <c r="D605" t="inlineStr">
        <is>
          <t>SÖDERMANLANDS LÄN</t>
        </is>
      </c>
      <c r="E605" t="inlineStr">
        <is>
          <t>FLEN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47759-2022</t>
        </is>
      </c>
      <c r="B606" s="1" t="n">
        <v>44854</v>
      </c>
      <c r="C606" s="1" t="n">
        <v>45338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47758-2022</t>
        </is>
      </c>
      <c r="B607" s="1" t="n">
        <v>44854</v>
      </c>
      <c r="C607" s="1" t="n">
        <v>45338</v>
      </c>
      <c r="D607" t="inlineStr">
        <is>
          <t>SÖDERMANLANDS LÄN</t>
        </is>
      </c>
      <c r="E607" t="inlineStr">
        <is>
          <t>FLEN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48774-2022</t>
        </is>
      </c>
      <c r="B608" s="1" t="n">
        <v>44855</v>
      </c>
      <c r="C608" s="1" t="n">
        <v>45338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48749-2022</t>
        </is>
      </c>
      <c r="B609" s="1" t="n">
        <v>44855</v>
      </c>
      <c r="C609" s="1" t="n">
        <v>45338</v>
      </c>
      <c r="D609" t="inlineStr">
        <is>
          <t>SÖDERMANLANDS LÄN</t>
        </is>
      </c>
      <c r="E609" t="inlineStr">
        <is>
          <t>FLEN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48791-2022</t>
        </is>
      </c>
      <c r="B610" s="1" t="n">
        <v>44855</v>
      </c>
      <c r="C610" s="1" t="n">
        <v>45338</v>
      </c>
      <c r="D610" t="inlineStr">
        <is>
          <t>SÖDERMANLANDS LÄN</t>
        </is>
      </c>
      <c r="E610" t="inlineStr">
        <is>
          <t>FLEN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48802-2022</t>
        </is>
      </c>
      <c r="B611" s="1" t="n">
        <v>44855</v>
      </c>
      <c r="C611" s="1" t="n">
        <v>45338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48785-2022</t>
        </is>
      </c>
      <c r="B612" s="1" t="n">
        <v>44859</v>
      </c>
      <c r="C612" s="1" t="n">
        <v>45338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48723-2022</t>
        </is>
      </c>
      <c r="B613" s="1" t="n">
        <v>44859</v>
      </c>
      <c r="C613" s="1" t="n">
        <v>45338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48826-2022</t>
        </is>
      </c>
      <c r="B614" s="1" t="n">
        <v>44859</v>
      </c>
      <c r="C614" s="1" t="n">
        <v>45338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49828-2022</t>
        </is>
      </c>
      <c r="B615" s="1" t="n">
        <v>44862</v>
      </c>
      <c r="C615" s="1" t="n">
        <v>45338</v>
      </c>
      <c r="D615" t="inlineStr">
        <is>
          <t>SÖDERMANLANDS LÄN</t>
        </is>
      </c>
      <c r="E615" t="inlineStr">
        <is>
          <t>FLEN</t>
        </is>
      </c>
      <c r="F615" t="inlineStr">
        <is>
          <t>Kyrkan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50731-2022</t>
        </is>
      </c>
      <c r="B616" s="1" t="n">
        <v>44862</v>
      </c>
      <c r="C616" s="1" t="n">
        <v>45338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50898-2022</t>
        </is>
      </c>
      <c r="B617" s="1" t="n">
        <v>44864</v>
      </c>
      <c r="C617" s="1" t="n">
        <v>45338</v>
      </c>
      <c r="D617" t="inlineStr">
        <is>
          <t>SÖDERMANLANDS LÄN</t>
        </is>
      </c>
      <c r="E617" t="inlineStr">
        <is>
          <t>FLEN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49939-2022</t>
        </is>
      </c>
      <c r="B618" s="1" t="n">
        <v>44865</v>
      </c>
      <c r="C618" s="1" t="n">
        <v>45338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51096-2022</t>
        </is>
      </c>
      <c r="B619" s="1" t="n">
        <v>44868</v>
      </c>
      <c r="C619" s="1" t="n">
        <v>45338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51327-2022</t>
        </is>
      </c>
      <c r="B620" s="1" t="n">
        <v>44868</v>
      </c>
      <c r="C620" s="1" t="n">
        <v>45338</v>
      </c>
      <c r="D620" t="inlineStr">
        <is>
          <t>SÖDERMANLANDS LÄN</t>
        </is>
      </c>
      <c r="E620" t="inlineStr">
        <is>
          <t>FLEN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51925-2022</t>
        </is>
      </c>
      <c r="B621" s="1" t="n">
        <v>44868</v>
      </c>
      <c r="C621" s="1" t="n">
        <v>45338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52257-2022</t>
        </is>
      </c>
      <c r="B622" s="1" t="n">
        <v>44869</v>
      </c>
      <c r="C622" s="1" t="n">
        <v>45338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51872-2022</t>
        </is>
      </c>
      <c r="B623" s="1" t="n">
        <v>44872</v>
      </c>
      <c r="C623" s="1" t="n">
        <v>45338</v>
      </c>
      <c r="D623" t="inlineStr">
        <is>
          <t>SÖDERMANLANDS LÄN</t>
        </is>
      </c>
      <c r="E623" t="inlineStr">
        <is>
          <t>FLEN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51881-2022</t>
        </is>
      </c>
      <c r="B624" s="1" t="n">
        <v>44872</v>
      </c>
      <c r="C624" s="1" t="n">
        <v>45338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52050-2022</t>
        </is>
      </c>
      <c r="B625" s="1" t="n">
        <v>44873</v>
      </c>
      <c r="C625" s="1" t="n">
        <v>45338</v>
      </c>
      <c r="D625" t="inlineStr">
        <is>
          <t>SÖDERMANLANDS LÄN</t>
        </is>
      </c>
      <c r="E625" t="inlineStr">
        <is>
          <t>FLEN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53371-2022</t>
        </is>
      </c>
      <c r="B626" s="1" t="n">
        <v>44879</v>
      </c>
      <c r="C626" s="1" t="n">
        <v>45338</v>
      </c>
      <c r="D626" t="inlineStr">
        <is>
          <t>SÖDERMANLANDS LÄN</t>
        </is>
      </c>
      <c r="E626" t="inlineStr">
        <is>
          <t>FLEN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54724-2022</t>
        </is>
      </c>
      <c r="B627" s="1" t="n">
        <v>44881</v>
      </c>
      <c r="C627" s="1" t="n">
        <v>45338</v>
      </c>
      <c r="D627" t="inlineStr">
        <is>
          <t>SÖDERMANLANDS LÄN</t>
        </is>
      </c>
      <c r="E627" t="inlineStr">
        <is>
          <t>FLEN</t>
        </is>
      </c>
      <c r="G627" t="n">
        <v>11.6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45338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45338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45338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45338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45338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45338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45338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45338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45338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45338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45338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45338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45338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45338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45338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45338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45338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45338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45338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45338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59265-2022</t>
        </is>
      </c>
      <c r="B648" s="1" t="n">
        <v>44897</v>
      </c>
      <c r="C648" s="1" t="n">
        <v>45338</v>
      </c>
      <c r="D648" t="inlineStr">
        <is>
          <t>SÖDERMANLANDS LÄN</t>
        </is>
      </c>
      <c r="E648" t="inlineStr">
        <is>
          <t>FLEN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57863-2022</t>
        </is>
      </c>
      <c r="B649" s="1" t="n">
        <v>44899</v>
      </c>
      <c r="C649" s="1" t="n">
        <v>45338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57862-2022</t>
        </is>
      </c>
      <c r="B650" s="1" t="n">
        <v>44899</v>
      </c>
      <c r="C650" s="1" t="n">
        <v>45338</v>
      </c>
      <c r="D650" t="inlineStr">
        <is>
          <t>SÖDERMANLANDS LÄN</t>
        </is>
      </c>
      <c r="E650" t="inlineStr">
        <is>
          <t>FLEN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59817-2022</t>
        </is>
      </c>
      <c r="B651" s="1" t="n">
        <v>44900</v>
      </c>
      <c r="C651" s="1" t="n">
        <v>45338</v>
      </c>
      <c r="D651" t="inlineStr">
        <is>
          <t>SÖDERMANLANDS LÄN</t>
        </is>
      </c>
      <c r="E651" t="inlineStr">
        <is>
          <t>FLEN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59819-2022</t>
        </is>
      </c>
      <c r="B652" s="1" t="n">
        <v>44900</v>
      </c>
      <c r="C652" s="1" t="n">
        <v>45338</v>
      </c>
      <c r="D652" t="inlineStr">
        <is>
          <t>SÖDERMANLANDS LÄN</t>
        </is>
      </c>
      <c r="E652" t="inlineStr">
        <is>
          <t>FLEN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58507-2022</t>
        </is>
      </c>
      <c r="B653" s="1" t="n">
        <v>44902</v>
      </c>
      <c r="C653" s="1" t="n">
        <v>45338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60574-2022</t>
        </is>
      </c>
      <c r="B654" s="1" t="n">
        <v>44904</v>
      </c>
      <c r="C654" s="1" t="n">
        <v>45338</v>
      </c>
      <c r="D654" t="inlineStr">
        <is>
          <t>SÖDERMANLANDS LÄN</t>
        </is>
      </c>
      <c r="E654" t="inlineStr">
        <is>
          <t>FLEN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59439-2022</t>
        </is>
      </c>
      <c r="B655" s="1" t="n">
        <v>44907</v>
      </c>
      <c r="C655" s="1" t="n">
        <v>45338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59599-2022</t>
        </is>
      </c>
      <c r="B656" s="1" t="n">
        <v>44907</v>
      </c>
      <c r="C656" s="1" t="n">
        <v>45338</v>
      </c>
      <c r="D656" t="inlineStr">
        <is>
          <t>SÖDERMANLANDS LÄN</t>
        </is>
      </c>
      <c r="E656" t="inlineStr">
        <is>
          <t>FLEN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59607-2022</t>
        </is>
      </c>
      <c r="B657" s="1" t="n">
        <v>44907</v>
      </c>
      <c r="C657" s="1" t="n">
        <v>45338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59776-2022</t>
        </is>
      </c>
      <c r="B658" s="1" t="n">
        <v>44908</v>
      </c>
      <c r="C658" s="1" t="n">
        <v>45338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60034-2022</t>
        </is>
      </c>
      <c r="B659" s="1" t="n">
        <v>44909</v>
      </c>
      <c r="C659" s="1" t="n">
        <v>45338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60058-2022</t>
        </is>
      </c>
      <c r="B660" s="1" t="n">
        <v>44909</v>
      </c>
      <c r="C660" s="1" t="n">
        <v>45338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60048-2022</t>
        </is>
      </c>
      <c r="B661" s="1" t="n">
        <v>44909</v>
      </c>
      <c r="C661" s="1" t="n">
        <v>45338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60150-2022</t>
        </is>
      </c>
      <c r="B662" s="1" t="n">
        <v>44909</v>
      </c>
      <c r="C662" s="1" t="n">
        <v>45338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60609-2022</t>
        </is>
      </c>
      <c r="B663" s="1" t="n">
        <v>44911</v>
      </c>
      <c r="C663" s="1" t="n">
        <v>45338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61633-2022</t>
        </is>
      </c>
      <c r="B664" s="1" t="n">
        <v>44911</v>
      </c>
      <c r="C664" s="1" t="n">
        <v>45338</v>
      </c>
      <c r="D664" t="inlineStr">
        <is>
          <t>SÖDERMANLANDS LÄN</t>
        </is>
      </c>
      <c r="E664" t="inlineStr">
        <is>
          <t>FLEN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60937-2022</t>
        </is>
      </c>
      <c r="B665" s="1" t="n">
        <v>44914</v>
      </c>
      <c r="C665" s="1" t="n">
        <v>45338</v>
      </c>
      <c r="D665" t="inlineStr">
        <is>
          <t>SÖDERMANLANDS LÄN</t>
        </is>
      </c>
      <c r="E665" t="inlineStr">
        <is>
          <t>FLEN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61870-2022</t>
        </is>
      </c>
      <c r="B666" s="1" t="n">
        <v>44917</v>
      </c>
      <c r="C666" s="1" t="n">
        <v>45338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61869-2022</t>
        </is>
      </c>
      <c r="B667" s="1" t="n">
        <v>44917</v>
      </c>
      <c r="C667" s="1" t="n">
        <v>45338</v>
      </c>
      <c r="D667" t="inlineStr">
        <is>
          <t>SÖDERMANLANDS LÄN</t>
        </is>
      </c>
      <c r="E667" t="inlineStr">
        <is>
          <t>FLEN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780-2023</t>
        </is>
      </c>
      <c r="B668" s="1" t="n">
        <v>44931</v>
      </c>
      <c r="C668" s="1" t="n">
        <v>45338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2391-2023</t>
        </is>
      </c>
      <c r="B669" s="1" t="n">
        <v>44942</v>
      </c>
      <c r="C669" s="1" t="n">
        <v>45338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2757-2023</t>
        </is>
      </c>
      <c r="B670" s="1" t="n">
        <v>44943</v>
      </c>
      <c r="C670" s="1" t="n">
        <v>45338</v>
      </c>
      <c r="D670" t="inlineStr">
        <is>
          <t>SÖDERMANLANDS LÄN</t>
        </is>
      </c>
      <c r="E670" t="inlineStr">
        <is>
          <t>FLEN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2759-2023</t>
        </is>
      </c>
      <c r="B671" s="1" t="n">
        <v>44943</v>
      </c>
      <c r="C671" s="1" t="n">
        <v>45338</v>
      </c>
      <c r="D671" t="inlineStr">
        <is>
          <t>SÖDERMANLANDS LÄN</t>
        </is>
      </c>
      <c r="E671" t="inlineStr">
        <is>
          <t>FLEN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3435-2023</t>
        </is>
      </c>
      <c r="B672" s="1" t="n">
        <v>44949</v>
      </c>
      <c r="C672" s="1" t="n">
        <v>45338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4259-2023</t>
        </is>
      </c>
      <c r="B673" s="1" t="n">
        <v>44953</v>
      </c>
      <c r="C673" s="1" t="n">
        <v>45338</v>
      </c>
      <c r="D673" t="inlineStr">
        <is>
          <t>SÖDERMANLANDS LÄN</t>
        </is>
      </c>
      <c r="E673" t="inlineStr">
        <is>
          <t>FLEN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4736-2023</t>
        </is>
      </c>
      <c r="B674" s="1" t="n">
        <v>44957</v>
      </c>
      <c r="C674" s="1" t="n">
        <v>45338</v>
      </c>
      <c r="D674" t="inlineStr">
        <is>
          <t>SÖDERMANLANDS LÄN</t>
        </is>
      </c>
      <c r="E674" t="inlineStr">
        <is>
          <t>FLEN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4742-2023</t>
        </is>
      </c>
      <c r="B675" s="1" t="n">
        <v>44957</v>
      </c>
      <c r="C675" s="1" t="n">
        <v>45338</v>
      </c>
      <c r="D675" t="inlineStr">
        <is>
          <t>SÖDERMANLANDS LÄN</t>
        </is>
      </c>
      <c r="E675" t="inlineStr">
        <is>
          <t>FLEN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4749-2023</t>
        </is>
      </c>
      <c r="B676" s="1" t="n">
        <v>44957</v>
      </c>
      <c r="C676" s="1" t="n">
        <v>45338</v>
      </c>
      <c r="D676" t="inlineStr">
        <is>
          <t>SÖDERMANLANDS LÄN</t>
        </is>
      </c>
      <c r="E676" t="inlineStr">
        <is>
          <t>FLEN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4923-2023</t>
        </is>
      </c>
      <c r="B677" s="1" t="n">
        <v>44958</v>
      </c>
      <c r="C677" s="1" t="n">
        <v>45338</v>
      </c>
      <c r="D677" t="inlineStr">
        <is>
          <t>SÖDERMANLANDS LÄN</t>
        </is>
      </c>
      <c r="E677" t="inlineStr">
        <is>
          <t>FLEN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4899-2023</t>
        </is>
      </c>
      <c r="B678" s="1" t="n">
        <v>44958</v>
      </c>
      <c r="C678" s="1" t="n">
        <v>45338</v>
      </c>
      <c r="D678" t="inlineStr">
        <is>
          <t>SÖDERMANLANDS LÄN</t>
        </is>
      </c>
      <c r="E678" t="inlineStr">
        <is>
          <t>FLEN</t>
        </is>
      </c>
      <c r="F678" t="inlineStr">
        <is>
          <t>Kyrkan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5109-2023</t>
        </is>
      </c>
      <c r="B679" s="1" t="n">
        <v>44958</v>
      </c>
      <c r="C679" s="1" t="n">
        <v>45338</v>
      </c>
      <c r="D679" t="inlineStr">
        <is>
          <t>SÖDERMANLANDS LÄN</t>
        </is>
      </c>
      <c r="E679" t="inlineStr">
        <is>
          <t>FLEN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5582-2023</t>
        </is>
      </c>
      <c r="B680" s="1" t="n">
        <v>44960</v>
      </c>
      <c r="C680" s="1" t="n">
        <v>45338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7399-2023</t>
        </is>
      </c>
      <c r="B681" s="1" t="n">
        <v>44966</v>
      </c>
      <c r="C681" s="1" t="n">
        <v>45338</v>
      </c>
      <c r="D681" t="inlineStr">
        <is>
          <t>SÖDERMANLANDS LÄN</t>
        </is>
      </c>
      <c r="E681" t="inlineStr">
        <is>
          <t>FLEN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7163-2023</t>
        </is>
      </c>
      <c r="B682" s="1" t="n">
        <v>44970</v>
      </c>
      <c r="C682" s="1" t="n">
        <v>45338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7194-2023</t>
        </is>
      </c>
      <c r="B683" s="1" t="n">
        <v>44970</v>
      </c>
      <c r="C683" s="1" t="n">
        <v>45338</v>
      </c>
      <c r="D683" t="inlineStr">
        <is>
          <t>SÖDERMANLANDS LÄN</t>
        </is>
      </c>
      <c r="E683" t="inlineStr">
        <is>
          <t>FLEN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7693-2023</t>
        </is>
      </c>
      <c r="B684" s="1" t="n">
        <v>44972</v>
      </c>
      <c r="C684" s="1" t="n">
        <v>45338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8075-2023</t>
        </is>
      </c>
      <c r="B685" s="1" t="n">
        <v>44974</v>
      </c>
      <c r="C685" s="1" t="n">
        <v>45338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8042-2023</t>
        </is>
      </c>
      <c r="B686" s="1" t="n">
        <v>44974</v>
      </c>
      <c r="C686" s="1" t="n">
        <v>45338</v>
      </c>
      <c r="D686" t="inlineStr">
        <is>
          <t>SÖDERMANLANDS LÄN</t>
        </is>
      </c>
      <c r="E686" t="inlineStr">
        <is>
          <t>FLEN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8607-2023</t>
        </is>
      </c>
      <c r="B687" s="1" t="n">
        <v>44977</v>
      </c>
      <c r="C687" s="1" t="n">
        <v>45338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8588-2023</t>
        </is>
      </c>
      <c r="B688" s="1" t="n">
        <v>44977</v>
      </c>
      <c r="C688" s="1" t="n">
        <v>45338</v>
      </c>
      <c r="D688" t="inlineStr">
        <is>
          <t>SÖDERMANLANDS LÄN</t>
        </is>
      </c>
      <c r="E688" t="inlineStr">
        <is>
          <t>FLEN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8894-2023</t>
        </is>
      </c>
      <c r="B689" s="1" t="n">
        <v>44979</v>
      </c>
      <c r="C689" s="1" t="n">
        <v>45338</v>
      </c>
      <c r="D689" t="inlineStr">
        <is>
          <t>SÖDERMANLANDS LÄN</t>
        </is>
      </c>
      <c r="E689" t="inlineStr">
        <is>
          <t>FLEN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8891-2023</t>
        </is>
      </c>
      <c r="B690" s="1" t="n">
        <v>44979</v>
      </c>
      <c r="C690" s="1" t="n">
        <v>45338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8883-2023</t>
        </is>
      </c>
      <c r="B691" s="1" t="n">
        <v>44979</v>
      </c>
      <c r="C691" s="1" t="n">
        <v>45338</v>
      </c>
      <c r="D691" t="inlineStr">
        <is>
          <t>SÖDERMANLANDS LÄN</t>
        </is>
      </c>
      <c r="E691" t="inlineStr">
        <is>
          <t>FLEN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9889-2023</t>
        </is>
      </c>
      <c r="B692" s="1" t="n">
        <v>44979</v>
      </c>
      <c r="C692" s="1" t="n">
        <v>45338</v>
      </c>
      <c r="D692" t="inlineStr">
        <is>
          <t>SÖDERMANLANDS LÄN</t>
        </is>
      </c>
      <c r="E692" t="inlineStr">
        <is>
          <t>FLEN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9894-2023</t>
        </is>
      </c>
      <c r="B693" s="1" t="n">
        <v>44979</v>
      </c>
      <c r="C693" s="1" t="n">
        <v>45338</v>
      </c>
      <c r="D693" t="inlineStr">
        <is>
          <t>SÖDERMANLANDS LÄN</t>
        </is>
      </c>
      <c r="E693" t="inlineStr">
        <is>
          <t>FLEN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9257-2023</t>
        </is>
      </c>
      <c r="B694" s="1" t="n">
        <v>44980</v>
      </c>
      <c r="C694" s="1" t="n">
        <v>45338</v>
      </c>
      <c r="D694" t="inlineStr">
        <is>
          <t>SÖDERMANLANDS LÄN</t>
        </is>
      </c>
      <c r="E694" t="inlineStr">
        <is>
          <t>FLEN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9882-2023</t>
        </is>
      </c>
      <c r="B695" s="1" t="n">
        <v>44985</v>
      </c>
      <c r="C695" s="1" t="n">
        <v>45338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9941-2023</t>
        </is>
      </c>
      <c r="B696" s="1" t="n">
        <v>44985</v>
      </c>
      <c r="C696" s="1" t="n">
        <v>45338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10938-2023</t>
        </is>
      </c>
      <c r="B697" s="1" t="n">
        <v>44985</v>
      </c>
      <c r="C697" s="1" t="n">
        <v>45338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10110-2023</t>
        </is>
      </c>
      <c r="B698" s="1" t="n">
        <v>44986</v>
      </c>
      <c r="C698" s="1" t="n">
        <v>45338</v>
      </c>
      <c r="D698" t="inlineStr">
        <is>
          <t>SÖDERMANLANDS LÄN</t>
        </is>
      </c>
      <c r="E698" t="inlineStr">
        <is>
          <t>FLEN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10565-2023</t>
        </is>
      </c>
      <c r="B699" s="1" t="n">
        <v>44988</v>
      </c>
      <c r="C699" s="1" t="n">
        <v>45338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10886-2023</t>
        </is>
      </c>
      <c r="B700" s="1" t="n">
        <v>44991</v>
      </c>
      <c r="C700" s="1" t="n">
        <v>45338</v>
      </c>
      <c r="D700" t="inlineStr">
        <is>
          <t>SÖDERMANLANDS LÄN</t>
        </is>
      </c>
      <c r="E700" t="inlineStr">
        <is>
          <t>FLEN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11506-2023</t>
        </is>
      </c>
      <c r="B701" s="1" t="n">
        <v>44991</v>
      </c>
      <c r="C701" s="1" t="n">
        <v>45338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12419-2023</t>
        </is>
      </c>
      <c r="B702" s="1" t="n">
        <v>44998</v>
      </c>
      <c r="C702" s="1" t="n">
        <v>45338</v>
      </c>
      <c r="D702" t="inlineStr">
        <is>
          <t>SÖDERMANLANDS LÄN</t>
        </is>
      </c>
      <c r="E702" t="inlineStr">
        <is>
          <t>FLEN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45338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45338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45338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45338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13858-2023</t>
        </is>
      </c>
      <c r="B707" s="1" t="n">
        <v>45007</v>
      </c>
      <c r="C707" s="1" t="n">
        <v>45338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13909-2023</t>
        </is>
      </c>
      <c r="B708" s="1" t="n">
        <v>45008</v>
      </c>
      <c r="C708" s="1" t="n">
        <v>45338</v>
      </c>
      <c r="D708" t="inlineStr">
        <is>
          <t>SÖDERMANLANDS LÄN</t>
        </is>
      </c>
      <c r="E708" t="inlineStr">
        <is>
          <t>FLEN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14412-2023</t>
        </is>
      </c>
      <c r="B709" s="1" t="n">
        <v>45012</v>
      </c>
      <c r="C709" s="1" t="n">
        <v>45338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14599-2023</t>
        </is>
      </c>
      <c r="B710" s="1" t="n">
        <v>45013</v>
      </c>
      <c r="C710" s="1" t="n">
        <v>45338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14749-2023</t>
        </is>
      </c>
      <c r="B711" s="1" t="n">
        <v>45014</v>
      </c>
      <c r="C711" s="1" t="n">
        <v>45338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14755-2023</t>
        </is>
      </c>
      <c r="B712" s="1" t="n">
        <v>45014</v>
      </c>
      <c r="C712" s="1" t="n">
        <v>45338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14826-2023</t>
        </is>
      </c>
      <c r="B713" s="1" t="n">
        <v>45014</v>
      </c>
      <c r="C713" s="1" t="n">
        <v>45338</v>
      </c>
      <c r="D713" t="inlineStr">
        <is>
          <t>SÖDERMANLANDS LÄN</t>
        </is>
      </c>
      <c r="E713" t="inlineStr">
        <is>
          <t>FLEN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15119-2023</t>
        </is>
      </c>
      <c r="B714" s="1" t="n">
        <v>45016</v>
      </c>
      <c r="C714" s="1" t="n">
        <v>45338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15897-2023</t>
        </is>
      </c>
      <c r="B715" s="1" t="n">
        <v>45022</v>
      </c>
      <c r="C715" s="1" t="n">
        <v>45338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15904-2023</t>
        </is>
      </c>
      <c r="B716" s="1" t="n">
        <v>45022</v>
      </c>
      <c r="C716" s="1" t="n">
        <v>45338</v>
      </c>
      <c r="D716" t="inlineStr">
        <is>
          <t>SÖDERMANLANDS LÄN</t>
        </is>
      </c>
      <c r="E716" t="inlineStr">
        <is>
          <t>FLEN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15900-2023</t>
        </is>
      </c>
      <c r="B717" s="1" t="n">
        <v>45022</v>
      </c>
      <c r="C717" s="1" t="n">
        <v>45338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16045-2023</t>
        </is>
      </c>
      <c r="B718" s="1" t="n">
        <v>45022</v>
      </c>
      <c r="C718" s="1" t="n">
        <v>45338</v>
      </c>
      <c r="D718" t="inlineStr">
        <is>
          <t>SÖDERMANLANDS LÄN</t>
        </is>
      </c>
      <c r="E718" t="inlineStr">
        <is>
          <t>FLEN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16399-2023</t>
        </is>
      </c>
      <c r="B719" s="1" t="n">
        <v>45029</v>
      </c>
      <c r="C719" s="1" t="n">
        <v>45338</v>
      </c>
      <c r="D719" t="inlineStr">
        <is>
          <t>SÖDERMANLANDS LÄN</t>
        </is>
      </c>
      <c r="E719" t="inlineStr">
        <is>
          <t>FLEN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16581-2023</t>
        </is>
      </c>
      <c r="B720" s="1" t="n">
        <v>45030</v>
      </c>
      <c r="C720" s="1" t="n">
        <v>45338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16582-2023</t>
        </is>
      </c>
      <c r="B721" s="1" t="n">
        <v>45030</v>
      </c>
      <c r="C721" s="1" t="n">
        <v>45338</v>
      </c>
      <c r="D721" t="inlineStr">
        <is>
          <t>SÖDERMANLANDS LÄN</t>
        </is>
      </c>
      <c r="E721" t="inlineStr">
        <is>
          <t>FLEN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16583-2023</t>
        </is>
      </c>
      <c r="B722" s="1" t="n">
        <v>45030</v>
      </c>
      <c r="C722" s="1" t="n">
        <v>45338</v>
      </c>
      <c r="D722" t="inlineStr">
        <is>
          <t>SÖDERMANLANDS LÄN</t>
        </is>
      </c>
      <c r="E722" t="inlineStr">
        <is>
          <t>FLEN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16580-2023</t>
        </is>
      </c>
      <c r="B723" s="1" t="n">
        <v>45030</v>
      </c>
      <c r="C723" s="1" t="n">
        <v>45338</v>
      </c>
      <c r="D723" t="inlineStr">
        <is>
          <t>SÖDERMANLANDS LÄN</t>
        </is>
      </c>
      <c r="E723" t="inlineStr">
        <is>
          <t>FLEN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17125-2023</t>
        </is>
      </c>
      <c r="B724" s="1" t="n">
        <v>45034</v>
      </c>
      <c r="C724" s="1" t="n">
        <v>45338</v>
      </c>
      <c r="D724" t="inlineStr">
        <is>
          <t>SÖDERMANLANDS LÄN</t>
        </is>
      </c>
      <c r="E724" t="inlineStr">
        <is>
          <t>FLEN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17655-2023</t>
        </is>
      </c>
      <c r="B725" s="1" t="n">
        <v>45036</v>
      </c>
      <c r="C725" s="1" t="n">
        <v>45338</v>
      </c>
      <c r="D725" t="inlineStr">
        <is>
          <t>SÖDERMANLANDS LÄN</t>
        </is>
      </c>
      <c r="E725" t="inlineStr">
        <is>
          <t>FLEN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17654-2023</t>
        </is>
      </c>
      <c r="B726" s="1" t="n">
        <v>45036</v>
      </c>
      <c r="C726" s="1" t="n">
        <v>45338</v>
      </c>
      <c r="D726" t="inlineStr">
        <is>
          <t>SÖDERMANLANDS LÄN</t>
        </is>
      </c>
      <c r="E726" t="inlineStr">
        <is>
          <t>FLEN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18083-2023</t>
        </is>
      </c>
      <c r="B727" s="1" t="n">
        <v>45039</v>
      </c>
      <c r="C727" s="1" t="n">
        <v>45338</v>
      </c>
      <c r="D727" t="inlineStr">
        <is>
          <t>SÖDERMANLANDS LÄN</t>
        </is>
      </c>
      <c r="E727" t="inlineStr">
        <is>
          <t>FLEN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18073-2023</t>
        </is>
      </c>
      <c r="B728" s="1" t="n">
        <v>45039</v>
      </c>
      <c r="C728" s="1" t="n">
        <v>45338</v>
      </c>
      <c r="D728" t="inlineStr">
        <is>
          <t>SÖDERMANLANDS LÄN</t>
        </is>
      </c>
      <c r="E728" t="inlineStr">
        <is>
          <t>FLEN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18102-2023</t>
        </is>
      </c>
      <c r="B729" s="1" t="n">
        <v>45039</v>
      </c>
      <c r="C729" s="1" t="n">
        <v>45338</v>
      </c>
      <c r="D729" t="inlineStr">
        <is>
          <t>SÖDERMANLANDS LÄN</t>
        </is>
      </c>
      <c r="E729" t="inlineStr">
        <is>
          <t>FLEN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18093-2023</t>
        </is>
      </c>
      <c r="B730" s="1" t="n">
        <v>45039</v>
      </c>
      <c r="C730" s="1" t="n">
        <v>45338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18511-2023</t>
        </is>
      </c>
      <c r="B731" s="1" t="n">
        <v>45041</v>
      </c>
      <c r="C731" s="1" t="n">
        <v>45338</v>
      </c>
      <c r="D731" t="inlineStr">
        <is>
          <t>SÖDERMANLANDS LÄN</t>
        </is>
      </c>
      <c r="E731" t="inlineStr">
        <is>
          <t>FLEN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18689-2023</t>
        </is>
      </c>
      <c r="B732" s="1" t="n">
        <v>45043</v>
      </c>
      <c r="C732" s="1" t="n">
        <v>45338</v>
      </c>
      <c r="D732" t="inlineStr">
        <is>
          <t>SÖDERMANLANDS LÄN</t>
        </is>
      </c>
      <c r="E732" t="inlineStr">
        <is>
          <t>FLEN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19150-2023</t>
        </is>
      </c>
      <c r="B733" s="1" t="n">
        <v>45048</v>
      </c>
      <c r="C733" s="1" t="n">
        <v>45338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19855-2023</t>
        </is>
      </c>
      <c r="B734" s="1" t="n">
        <v>45053</v>
      </c>
      <c r="C734" s="1" t="n">
        <v>45338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20462-2023</t>
        </is>
      </c>
      <c r="B735" s="1" t="n">
        <v>45056</v>
      </c>
      <c r="C735" s="1" t="n">
        <v>45338</v>
      </c>
      <c r="D735" t="inlineStr">
        <is>
          <t>SÖDERMANLANDS LÄN</t>
        </is>
      </c>
      <c r="E735" t="inlineStr">
        <is>
          <t>FLEN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20463-2023</t>
        </is>
      </c>
      <c r="B736" s="1" t="n">
        <v>45056</v>
      </c>
      <c r="C736" s="1" t="n">
        <v>45338</v>
      </c>
      <c r="D736" t="inlineStr">
        <is>
          <t>SÖDERMANLANDS LÄN</t>
        </is>
      </c>
      <c r="E736" t="inlineStr">
        <is>
          <t>FLEN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20980-2023</t>
        </is>
      </c>
      <c r="B737" s="1" t="n">
        <v>45056</v>
      </c>
      <c r="C737" s="1" t="n">
        <v>45338</v>
      </c>
      <c r="D737" t="inlineStr">
        <is>
          <t>SÖDERMANLANDS LÄN</t>
        </is>
      </c>
      <c r="E737" t="inlineStr">
        <is>
          <t>FLEN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21047-2023</t>
        </is>
      </c>
      <c r="B738" s="1" t="n">
        <v>45056</v>
      </c>
      <c r="C738" s="1" t="n">
        <v>45338</v>
      </c>
      <c r="D738" t="inlineStr">
        <is>
          <t>SÖDERMANLANDS LÄN</t>
        </is>
      </c>
      <c r="E738" t="inlineStr">
        <is>
          <t>FLEN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21036-2023</t>
        </is>
      </c>
      <c r="B739" s="1" t="n">
        <v>45056</v>
      </c>
      <c r="C739" s="1" t="n">
        <v>45338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21057-2023</t>
        </is>
      </c>
      <c r="B740" s="1" t="n">
        <v>45056</v>
      </c>
      <c r="C740" s="1" t="n">
        <v>45338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21167-2023</t>
        </is>
      </c>
      <c r="B741" s="1" t="n">
        <v>45057</v>
      </c>
      <c r="C741" s="1" t="n">
        <v>45338</v>
      </c>
      <c r="D741" t="inlineStr">
        <is>
          <t>SÖDERMANLANDS LÄN</t>
        </is>
      </c>
      <c r="E741" t="inlineStr">
        <is>
          <t>FLEN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21714-2023</t>
        </is>
      </c>
      <c r="B742" s="1" t="n">
        <v>45065</v>
      </c>
      <c r="C742" s="1" t="n">
        <v>45338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22028-2023</t>
        </is>
      </c>
      <c r="B743" s="1" t="n">
        <v>45066</v>
      </c>
      <c r="C743" s="1" t="n">
        <v>45338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21822-2023</t>
        </is>
      </c>
      <c r="B744" s="1" t="n">
        <v>45068</v>
      </c>
      <c r="C744" s="1" t="n">
        <v>45338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22101-2023</t>
        </is>
      </c>
      <c r="B745" s="1" t="n">
        <v>45068</v>
      </c>
      <c r="C745" s="1" t="n">
        <v>45338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22369-2023</t>
        </is>
      </c>
      <c r="B746" s="1" t="n">
        <v>45070</v>
      </c>
      <c r="C746" s="1" t="n">
        <v>45338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22365-2023</t>
        </is>
      </c>
      <c r="B747" s="1" t="n">
        <v>45070</v>
      </c>
      <c r="C747" s="1" t="n">
        <v>45338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22957-2023</t>
        </is>
      </c>
      <c r="B748" s="1" t="n">
        <v>45072</v>
      </c>
      <c r="C748" s="1" t="n">
        <v>45338</v>
      </c>
      <c r="D748" t="inlineStr">
        <is>
          <t>SÖDERMANLANDS LÄN</t>
        </is>
      </c>
      <c r="E748" t="inlineStr">
        <is>
          <t>FLEN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23650-2023</t>
        </is>
      </c>
      <c r="B749" s="1" t="n">
        <v>45073</v>
      </c>
      <c r="C749" s="1" t="n">
        <v>45338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23646-2023</t>
        </is>
      </c>
      <c r="B750" s="1" t="n">
        <v>45073</v>
      </c>
      <c r="C750" s="1" t="n">
        <v>45338</v>
      </c>
      <c r="D750" t="inlineStr">
        <is>
          <t>SÖDERMANLANDS LÄN</t>
        </is>
      </c>
      <c r="E750" t="inlineStr">
        <is>
          <t>FLEN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24123-2023</t>
        </is>
      </c>
      <c r="B751" s="1" t="n">
        <v>45079</v>
      </c>
      <c r="C751" s="1" t="n">
        <v>45338</v>
      </c>
      <c r="D751" t="inlineStr">
        <is>
          <t>SÖDERMANLANDS LÄN</t>
        </is>
      </c>
      <c r="E751" t="inlineStr">
        <is>
          <t>FLEN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25474-2023</t>
        </is>
      </c>
      <c r="B752" s="1" t="n">
        <v>45081</v>
      </c>
      <c r="C752" s="1" t="n">
        <v>45338</v>
      </c>
      <c r="D752" t="inlineStr">
        <is>
          <t>SÖDERMANLANDS LÄN</t>
        </is>
      </c>
      <c r="E752" t="inlineStr">
        <is>
          <t>FLEN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25467-2023</t>
        </is>
      </c>
      <c r="B753" s="1" t="n">
        <v>45081</v>
      </c>
      <c r="C753" s="1" t="n">
        <v>45338</v>
      </c>
      <c r="D753" t="inlineStr">
        <is>
          <t>SÖDERMANLANDS LÄN</t>
        </is>
      </c>
      <c r="E753" t="inlineStr">
        <is>
          <t>FLEN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24348-2023</t>
        </is>
      </c>
      <c r="B754" s="1" t="n">
        <v>45082</v>
      </c>
      <c r="C754" s="1" t="n">
        <v>45338</v>
      </c>
      <c r="D754" t="inlineStr">
        <is>
          <t>SÖDERMANLANDS LÄN</t>
        </is>
      </c>
      <c r="E754" t="inlineStr">
        <is>
          <t>FLEN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25605-2023</t>
        </is>
      </c>
      <c r="B755" s="1" t="n">
        <v>45089</v>
      </c>
      <c r="C755" s="1" t="n">
        <v>45338</v>
      </c>
      <c r="D755" t="inlineStr">
        <is>
          <t>SÖDERMANLANDS LÄN</t>
        </is>
      </c>
      <c r="E755" t="inlineStr">
        <is>
          <t>FLEN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26036-2023</t>
        </is>
      </c>
      <c r="B756" s="1" t="n">
        <v>45091</v>
      </c>
      <c r="C756" s="1" t="n">
        <v>45338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27724-2023</t>
        </is>
      </c>
      <c r="B757" s="1" t="n">
        <v>45097</v>
      </c>
      <c r="C757" s="1" t="n">
        <v>45338</v>
      </c>
      <c r="D757" t="inlineStr">
        <is>
          <t>SÖDERMANLANDS LÄN</t>
        </is>
      </c>
      <c r="E757" t="inlineStr">
        <is>
          <t>FLEN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27780-2023</t>
        </is>
      </c>
      <c r="B758" s="1" t="n">
        <v>45098</v>
      </c>
      <c r="C758" s="1" t="n">
        <v>45338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27849-2023</t>
        </is>
      </c>
      <c r="B759" s="1" t="n">
        <v>45098</v>
      </c>
      <c r="C759" s="1" t="n">
        <v>45338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28154-2023</t>
        </is>
      </c>
      <c r="B760" s="1" t="n">
        <v>45099</v>
      </c>
      <c r="C760" s="1" t="n">
        <v>45338</v>
      </c>
      <c r="D760" t="inlineStr">
        <is>
          <t>SÖDERMANLANDS LÄN</t>
        </is>
      </c>
      <c r="E760" t="inlineStr">
        <is>
          <t>FLEN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31007-2023</t>
        </is>
      </c>
      <c r="B761" s="1" t="n">
        <v>45103</v>
      </c>
      <c r="C761" s="1" t="n">
        <v>45338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HYPERLINK("https://klasma.github.io/Logging_0482/knärot/A 31007-2023 karta knärot.png", "A 31007-2023")</f>
        <v/>
      </c>
      <c r="V761">
        <f>HYPERLINK("https://klasma.github.io/Logging_0482/klagomål/A 31007-2023 FSC-klagomål.docx", "A 31007-2023")</f>
        <v/>
      </c>
      <c r="W761">
        <f>HYPERLINK("https://klasma.github.io/Logging_0482/klagomålsmail/A 31007-2023 FSC-klagomål mail.docx", "A 31007-2023")</f>
        <v/>
      </c>
      <c r="X761">
        <f>HYPERLINK("https://klasma.github.io/Logging_0482/tillsyn/A 31007-2023 tillsynsbegäran.docx", "A 31007-2023")</f>
        <v/>
      </c>
      <c r="Y761">
        <f>HYPERLINK("https://klasma.github.io/Logging_0482/tillsynsmail/A 31007-2023 tillsynsbegäran mail.docx", "A 31007-2023")</f>
        <v/>
      </c>
    </row>
    <row r="762" ht="15" customHeight="1">
      <c r="A762" t="inlineStr">
        <is>
          <t>A 28529-2023</t>
        </is>
      </c>
      <c r="B762" s="1" t="n">
        <v>45103</v>
      </c>
      <c r="C762" s="1" t="n">
        <v>45338</v>
      </c>
      <c r="D762" t="inlineStr">
        <is>
          <t>SÖDERMANLANDS LÄN</t>
        </is>
      </c>
      <c r="E762" t="inlineStr">
        <is>
          <t>FLEN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28928-2023</t>
        </is>
      </c>
      <c r="B763" s="1" t="n">
        <v>45104</v>
      </c>
      <c r="C763" s="1" t="n">
        <v>45338</v>
      </c>
      <c r="D763" t="inlineStr">
        <is>
          <t>SÖDERMANLANDS LÄN</t>
        </is>
      </c>
      <c r="E763" t="inlineStr">
        <is>
          <t>FLEN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28938-2023</t>
        </is>
      </c>
      <c r="B764" s="1" t="n">
        <v>45104</v>
      </c>
      <c r="C764" s="1" t="n">
        <v>45338</v>
      </c>
      <c r="D764" t="inlineStr">
        <is>
          <t>SÖDERMANLANDS LÄN</t>
        </is>
      </c>
      <c r="E764" t="inlineStr">
        <is>
          <t>FLEN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29186-2023</t>
        </is>
      </c>
      <c r="B765" s="1" t="n">
        <v>45105</v>
      </c>
      <c r="C765" s="1" t="n">
        <v>45338</v>
      </c>
      <c r="D765" t="inlineStr">
        <is>
          <t>SÖDERMANLANDS LÄN</t>
        </is>
      </c>
      <c r="E765" t="inlineStr">
        <is>
          <t>FLEN</t>
        </is>
      </c>
      <c r="F765" t="inlineStr">
        <is>
          <t>Övriga statliga verk och myndigheter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29195-2023</t>
        </is>
      </c>
      <c r="B766" s="1" t="n">
        <v>45105</v>
      </c>
      <c r="C766" s="1" t="n">
        <v>45338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29245-2023</t>
        </is>
      </c>
      <c r="B767" s="1" t="n">
        <v>45105</v>
      </c>
      <c r="C767" s="1" t="n">
        <v>45338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29247-2023</t>
        </is>
      </c>
      <c r="B768" s="1" t="n">
        <v>45105</v>
      </c>
      <c r="C768" s="1" t="n">
        <v>45338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30250-2023</t>
        </is>
      </c>
      <c r="B769" s="1" t="n">
        <v>45110</v>
      </c>
      <c r="C769" s="1" t="n">
        <v>45338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32407-2023</t>
        </is>
      </c>
      <c r="B770" s="1" t="n">
        <v>45110</v>
      </c>
      <c r="C770" s="1" t="n">
        <v>45338</v>
      </c>
      <c r="D770" t="inlineStr">
        <is>
          <t>SÖDERMANLANDS LÄN</t>
        </is>
      </c>
      <c r="E770" t="inlineStr">
        <is>
          <t>FLEN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30584-2023</t>
        </is>
      </c>
      <c r="B771" s="1" t="n">
        <v>45112</v>
      </c>
      <c r="C771" s="1" t="n">
        <v>45338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45338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45338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45338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45338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45338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45338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45338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45338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45338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45338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45338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45338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45338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45338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45338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45338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45338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45338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45338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45338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45338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45338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45338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45338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45338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45338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37025-2023</t>
        </is>
      </c>
      <c r="B798" s="1" t="n">
        <v>45155</v>
      </c>
      <c r="C798" s="1" t="n">
        <v>45338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24.1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37441-2023</t>
        </is>
      </c>
      <c r="B799" s="1" t="n">
        <v>45156</v>
      </c>
      <c r="C799" s="1" t="n">
        <v>45338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37428-2023</t>
        </is>
      </c>
      <c r="B800" s="1" t="n">
        <v>45156</v>
      </c>
      <c r="C800" s="1" t="n">
        <v>45338</v>
      </c>
      <c r="D800" t="inlineStr">
        <is>
          <t>SÖDERMANLANDS LÄN</t>
        </is>
      </c>
      <c r="E800" t="inlineStr">
        <is>
          <t>FLEN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37646-2023</t>
        </is>
      </c>
      <c r="B801" s="1" t="n">
        <v>45159</v>
      </c>
      <c r="C801" s="1" t="n">
        <v>45338</v>
      </c>
      <c r="D801" t="inlineStr">
        <is>
          <t>SÖDERMANLANDS LÄN</t>
        </is>
      </c>
      <c r="E801" t="inlineStr">
        <is>
          <t>FLEN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37632-2023</t>
        </is>
      </c>
      <c r="B802" s="1" t="n">
        <v>45159</v>
      </c>
      <c r="C802" s="1" t="n">
        <v>45338</v>
      </c>
      <c r="D802" t="inlineStr">
        <is>
          <t>SÖDERMANLANDS LÄN</t>
        </is>
      </c>
      <c r="E802" t="inlineStr">
        <is>
          <t>FLEN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37910-2023</t>
        </is>
      </c>
      <c r="B803" s="1" t="n">
        <v>45160</v>
      </c>
      <c r="C803" s="1" t="n">
        <v>45338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37891-2023</t>
        </is>
      </c>
      <c r="B804" s="1" t="n">
        <v>45160</v>
      </c>
      <c r="C804" s="1" t="n">
        <v>45338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37945-2023</t>
        </is>
      </c>
      <c r="B805" s="1" t="n">
        <v>45160</v>
      </c>
      <c r="C805" s="1" t="n">
        <v>45338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37923-2023</t>
        </is>
      </c>
      <c r="B806" s="1" t="n">
        <v>45160</v>
      </c>
      <c r="C806" s="1" t="n">
        <v>45338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38135-2023</t>
        </is>
      </c>
      <c r="B807" s="1" t="n">
        <v>45161</v>
      </c>
      <c r="C807" s="1" t="n">
        <v>45338</v>
      </c>
      <c r="D807" t="inlineStr">
        <is>
          <t>SÖDERMANLANDS LÄN</t>
        </is>
      </c>
      <c r="E807" t="inlineStr">
        <is>
          <t>FLEN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38209-2023</t>
        </is>
      </c>
      <c r="B808" s="1" t="n">
        <v>45161</v>
      </c>
      <c r="C808" s="1" t="n">
        <v>45338</v>
      </c>
      <c r="D808" t="inlineStr">
        <is>
          <t>SÖDERMANLANDS LÄN</t>
        </is>
      </c>
      <c r="E808" t="inlineStr">
        <is>
          <t>FLEN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38217-2023</t>
        </is>
      </c>
      <c r="B809" s="1" t="n">
        <v>45161</v>
      </c>
      <c r="C809" s="1" t="n">
        <v>45338</v>
      </c>
      <c r="D809" t="inlineStr">
        <is>
          <t>SÖDERMANLANDS LÄN</t>
        </is>
      </c>
      <c r="E809" t="inlineStr">
        <is>
          <t>FLEN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38331-2023</t>
        </is>
      </c>
      <c r="B810" s="1" t="n">
        <v>45161</v>
      </c>
      <c r="C810" s="1" t="n">
        <v>45338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38514-2023</t>
        </is>
      </c>
      <c r="B811" s="1" t="n">
        <v>45162</v>
      </c>
      <c r="C811" s="1" t="n">
        <v>45338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39053-2023</t>
        </is>
      </c>
      <c r="B812" s="1" t="n">
        <v>45163</v>
      </c>
      <c r="C812" s="1" t="n">
        <v>45338</v>
      </c>
      <c r="D812" t="inlineStr">
        <is>
          <t>SÖDERMANLANDS LÄN</t>
        </is>
      </c>
      <c r="E812" t="inlineStr">
        <is>
          <t>FLEN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39036-2023</t>
        </is>
      </c>
      <c r="B813" s="1" t="n">
        <v>45163</v>
      </c>
      <c r="C813" s="1" t="n">
        <v>45338</v>
      </c>
      <c r="D813" t="inlineStr">
        <is>
          <t>SÖDERMANLANDS LÄN</t>
        </is>
      </c>
      <c r="E813" t="inlineStr">
        <is>
          <t>FLEN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38762-2023</t>
        </is>
      </c>
      <c r="B814" s="1" t="n">
        <v>45163</v>
      </c>
      <c r="C814" s="1" t="n">
        <v>45338</v>
      </c>
      <c r="D814" t="inlineStr">
        <is>
          <t>SÖDERMANLANDS LÄN</t>
        </is>
      </c>
      <c r="E814" t="inlineStr">
        <is>
          <t>FLEN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39590-2023</t>
        </is>
      </c>
      <c r="B815" s="1" t="n">
        <v>45163</v>
      </c>
      <c r="C815" s="1" t="n">
        <v>45338</v>
      </c>
      <c r="D815" t="inlineStr">
        <is>
          <t>SÖDERMANLANDS LÄN</t>
        </is>
      </c>
      <c r="E815" t="inlineStr">
        <is>
          <t>FLEN</t>
        </is>
      </c>
      <c r="G815" t="n">
        <v>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38753-2023</t>
        </is>
      </c>
      <c r="B816" s="1" t="n">
        <v>45163</v>
      </c>
      <c r="C816" s="1" t="n">
        <v>45338</v>
      </c>
      <c r="D816" t="inlineStr">
        <is>
          <t>SÖDERMANLANDS LÄN</t>
        </is>
      </c>
      <c r="E816" t="inlineStr">
        <is>
          <t>FLEN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39226-2023</t>
        </is>
      </c>
      <c r="B817" s="1" t="n">
        <v>45166</v>
      </c>
      <c r="C817" s="1" t="n">
        <v>45338</v>
      </c>
      <c r="D817" t="inlineStr">
        <is>
          <t>SÖDERMANLANDS LÄN</t>
        </is>
      </c>
      <c r="E817" t="inlineStr">
        <is>
          <t>FLEN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39343-2023</t>
        </is>
      </c>
      <c r="B818" s="1" t="n">
        <v>45166</v>
      </c>
      <c r="C818" s="1" t="n">
        <v>45338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39335-2023</t>
        </is>
      </c>
      <c r="B819" s="1" t="n">
        <v>45166</v>
      </c>
      <c r="C819" s="1" t="n">
        <v>45338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40877-2023</t>
        </is>
      </c>
      <c r="B820" s="1" t="n">
        <v>45168</v>
      </c>
      <c r="C820" s="1" t="n">
        <v>45338</v>
      </c>
      <c r="D820" t="inlineStr">
        <is>
          <t>SÖDERMANLANDS LÄN</t>
        </is>
      </c>
      <c r="E820" t="inlineStr">
        <is>
          <t>FLEN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40194-2023</t>
        </is>
      </c>
      <c r="B821" s="1" t="n">
        <v>45169</v>
      </c>
      <c r="C821" s="1" t="n">
        <v>45338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40286-2023</t>
        </is>
      </c>
      <c r="B822" s="1" t="n">
        <v>45169</v>
      </c>
      <c r="C822" s="1" t="n">
        <v>45338</v>
      </c>
      <c r="D822" t="inlineStr">
        <is>
          <t>SÖDERMANLANDS LÄN</t>
        </is>
      </c>
      <c r="E822" t="inlineStr">
        <is>
          <t>FLEN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40592-2023</t>
        </is>
      </c>
      <c r="B823" s="1" t="n">
        <v>45169</v>
      </c>
      <c r="C823" s="1" t="n">
        <v>45338</v>
      </c>
      <c r="D823" t="inlineStr">
        <is>
          <t>SÖDERMANLANDS LÄN</t>
        </is>
      </c>
      <c r="E823" t="inlineStr">
        <is>
          <t>FLEN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40729-2023</t>
        </is>
      </c>
      <c r="B824" s="1" t="n">
        <v>45170</v>
      </c>
      <c r="C824" s="1" t="n">
        <v>45338</v>
      </c>
      <c r="D824" t="inlineStr">
        <is>
          <t>SÖDERMANLANDS LÄN</t>
        </is>
      </c>
      <c r="E824" t="inlineStr">
        <is>
          <t>FLEN</t>
        </is>
      </c>
      <c r="F824" t="inlineStr">
        <is>
          <t>Kyrkan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41226-2023</t>
        </is>
      </c>
      <c r="B825" s="1" t="n">
        <v>45174</v>
      </c>
      <c r="C825" s="1" t="n">
        <v>45338</v>
      </c>
      <c r="D825" t="inlineStr">
        <is>
          <t>SÖDERMANLANDS LÄN</t>
        </is>
      </c>
      <c r="E825" t="inlineStr">
        <is>
          <t>FLEN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41630-2023</t>
        </is>
      </c>
      <c r="B826" s="1" t="n">
        <v>45175</v>
      </c>
      <c r="C826" s="1" t="n">
        <v>45338</v>
      </c>
      <c r="D826" t="inlineStr">
        <is>
          <t>SÖDERMANLANDS LÄN</t>
        </is>
      </c>
      <c r="E826" t="inlineStr">
        <is>
          <t>FLEN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41629-2023</t>
        </is>
      </c>
      <c r="B827" s="1" t="n">
        <v>45175</v>
      </c>
      <c r="C827" s="1" t="n">
        <v>45338</v>
      </c>
      <c r="D827" t="inlineStr">
        <is>
          <t>SÖDERMANLANDS LÄN</t>
        </is>
      </c>
      <c r="E827" t="inlineStr">
        <is>
          <t>FLEN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41806-2023</t>
        </is>
      </c>
      <c r="B828" s="1" t="n">
        <v>45176</v>
      </c>
      <c r="C828" s="1" t="n">
        <v>45338</v>
      </c>
      <c r="D828" t="inlineStr">
        <is>
          <t>SÖDERMANLANDS LÄN</t>
        </is>
      </c>
      <c r="E828" t="inlineStr">
        <is>
          <t>FLEN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42388-2023</t>
        </is>
      </c>
      <c r="B829" s="1" t="n">
        <v>45180</v>
      </c>
      <c r="C829" s="1" t="n">
        <v>45338</v>
      </c>
      <c r="D829" t="inlineStr">
        <is>
          <t>SÖDERMANLANDS LÄN</t>
        </is>
      </c>
      <c r="E829" t="inlineStr">
        <is>
          <t>FLEN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43042-2023</t>
        </is>
      </c>
      <c r="B830" s="1" t="n">
        <v>45182</v>
      </c>
      <c r="C830" s="1" t="n">
        <v>45338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43066-2023</t>
        </is>
      </c>
      <c r="B831" s="1" t="n">
        <v>45182</v>
      </c>
      <c r="C831" s="1" t="n">
        <v>45338</v>
      </c>
      <c r="D831" t="inlineStr">
        <is>
          <t>SÖDERMANLANDS LÄN</t>
        </is>
      </c>
      <c r="E831" t="inlineStr">
        <is>
          <t>FLEN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43008-2023</t>
        </is>
      </c>
      <c r="B832" s="1" t="n">
        <v>45182</v>
      </c>
      <c r="C832" s="1" t="n">
        <v>45338</v>
      </c>
      <c r="D832" t="inlineStr">
        <is>
          <t>SÖDERMANLANDS LÄN</t>
        </is>
      </c>
      <c r="E832" t="inlineStr">
        <is>
          <t>FLEN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43044-2023</t>
        </is>
      </c>
      <c r="B833" s="1" t="n">
        <v>45182</v>
      </c>
      <c r="C833" s="1" t="n">
        <v>45338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43050-2023</t>
        </is>
      </c>
      <c r="B834" s="1" t="n">
        <v>45182</v>
      </c>
      <c r="C834" s="1" t="n">
        <v>45338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44475-2023</t>
        </is>
      </c>
      <c r="B835" s="1" t="n">
        <v>45183</v>
      </c>
      <c r="C835" s="1" t="n">
        <v>45338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44480-2023</t>
        </is>
      </c>
      <c r="B836" s="1" t="n">
        <v>45183</v>
      </c>
      <c r="C836" s="1" t="n">
        <v>45338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44893-2023</t>
        </is>
      </c>
      <c r="B837" s="1" t="n">
        <v>45187</v>
      </c>
      <c r="C837" s="1" t="n">
        <v>45338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44895-2023</t>
        </is>
      </c>
      <c r="B838" s="1" t="n">
        <v>45187</v>
      </c>
      <c r="C838" s="1" t="n">
        <v>45338</v>
      </c>
      <c r="D838" t="inlineStr">
        <is>
          <t>SÖDERMANLANDS LÄN</t>
        </is>
      </c>
      <c r="E838" t="inlineStr">
        <is>
          <t>FLEN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44457-2023</t>
        </is>
      </c>
      <c r="B839" s="1" t="n">
        <v>45189</v>
      </c>
      <c r="C839" s="1" t="n">
        <v>45338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44468-2023</t>
        </is>
      </c>
      <c r="B840" s="1" t="n">
        <v>45189</v>
      </c>
      <c r="C840" s="1" t="n">
        <v>45338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44476-2023</t>
        </is>
      </c>
      <c r="B841" s="1" t="n">
        <v>45189</v>
      </c>
      <c r="C841" s="1" t="n">
        <v>45338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45923-2023</t>
        </is>
      </c>
      <c r="B842" s="1" t="n">
        <v>45189</v>
      </c>
      <c r="C842" s="1" t="n">
        <v>45338</v>
      </c>
      <c r="D842" t="inlineStr">
        <is>
          <t>SÖDERMANLANDS LÄN</t>
        </is>
      </c>
      <c r="E842" t="inlineStr">
        <is>
          <t>FLEN</t>
        </is>
      </c>
      <c r="F842" t="inlineStr">
        <is>
          <t>Övriga statliga verk och myndigheter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45107-2023</t>
        </is>
      </c>
      <c r="B843" s="1" t="n">
        <v>45191</v>
      </c>
      <c r="C843" s="1" t="n">
        <v>45338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45082-2023</t>
        </is>
      </c>
      <c r="B844" s="1" t="n">
        <v>45191</v>
      </c>
      <c r="C844" s="1" t="n">
        <v>45338</v>
      </c>
      <c r="D844" t="inlineStr">
        <is>
          <t>SÖDERMANLANDS LÄN</t>
        </is>
      </c>
      <c r="E844" t="inlineStr">
        <is>
          <t>FLEN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45137-2023</t>
        </is>
      </c>
      <c r="B845" s="1" t="n">
        <v>45191</v>
      </c>
      <c r="C845" s="1" t="n">
        <v>45338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46347-2023</t>
        </is>
      </c>
      <c r="B846" s="1" t="n">
        <v>45192</v>
      </c>
      <c r="C846" s="1" t="n">
        <v>45338</v>
      </c>
      <c r="D846" t="inlineStr">
        <is>
          <t>SÖDERMANLANDS LÄN</t>
        </is>
      </c>
      <c r="E846" t="inlineStr">
        <is>
          <t>FLEN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46360-2023</t>
        </is>
      </c>
      <c r="B847" s="1" t="n">
        <v>45193</v>
      </c>
      <c r="C847" s="1" t="n">
        <v>45338</v>
      </c>
      <c r="D847" t="inlineStr">
        <is>
          <t>SÖDERMANLANDS LÄN</t>
        </is>
      </c>
      <c r="E847" t="inlineStr">
        <is>
          <t>FLEN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46353-2023</t>
        </is>
      </c>
      <c r="B848" s="1" t="n">
        <v>45193</v>
      </c>
      <c r="C848" s="1" t="n">
        <v>45338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45878-2023</t>
        </is>
      </c>
      <c r="B849" s="1" t="n">
        <v>45195</v>
      </c>
      <c r="C849" s="1" t="n">
        <v>45338</v>
      </c>
      <c r="D849" t="inlineStr">
        <is>
          <t>SÖDERMANLANDS LÄN</t>
        </is>
      </c>
      <c r="E849" t="inlineStr">
        <is>
          <t>FLEN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45922-2023</t>
        </is>
      </c>
      <c r="B850" s="1" t="n">
        <v>45195</v>
      </c>
      <c r="C850" s="1" t="n">
        <v>45338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45875-2023</t>
        </is>
      </c>
      <c r="B851" s="1" t="n">
        <v>45195</v>
      </c>
      <c r="C851" s="1" t="n">
        <v>45338</v>
      </c>
      <c r="D851" t="inlineStr">
        <is>
          <t>SÖDERMANLANDS LÄN</t>
        </is>
      </c>
      <c r="E851" t="inlineStr">
        <is>
          <t>FLEN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46135-2023</t>
        </is>
      </c>
      <c r="B852" s="1" t="n">
        <v>45196</v>
      </c>
      <c r="C852" s="1" t="n">
        <v>45338</v>
      </c>
      <c r="D852" t="inlineStr">
        <is>
          <t>SÖDERMANLANDS LÄN</t>
        </is>
      </c>
      <c r="E852" t="inlineStr">
        <is>
          <t>FLEN</t>
        </is>
      </c>
      <c r="F852" t="inlineStr">
        <is>
          <t>Kyrkan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46115-2023</t>
        </is>
      </c>
      <c r="B853" s="1" t="n">
        <v>45196</v>
      </c>
      <c r="C853" s="1" t="n">
        <v>45338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46281-2023</t>
        </is>
      </c>
      <c r="B854" s="1" t="n">
        <v>45196</v>
      </c>
      <c r="C854" s="1" t="n">
        <v>45338</v>
      </c>
      <c r="D854" t="inlineStr">
        <is>
          <t>SÖDERMANLANDS LÄN</t>
        </is>
      </c>
      <c r="E854" t="inlineStr">
        <is>
          <t>FLEN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47060-2023</t>
        </is>
      </c>
      <c r="B855" s="1" t="n">
        <v>45201</v>
      </c>
      <c r="C855" s="1" t="n">
        <v>45338</v>
      </c>
      <c r="D855" t="inlineStr">
        <is>
          <t>SÖDERMANLANDS LÄN</t>
        </is>
      </c>
      <c r="E855" t="inlineStr">
        <is>
          <t>FLEN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47367-2023</t>
        </is>
      </c>
      <c r="B856" s="1" t="n">
        <v>45202</v>
      </c>
      <c r="C856" s="1" t="n">
        <v>45338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47413-2023</t>
        </is>
      </c>
      <c r="B857" s="1" t="n">
        <v>45202</v>
      </c>
      <c r="C857" s="1" t="n">
        <v>45338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48231-2023</t>
        </is>
      </c>
      <c r="B858" s="1" t="n">
        <v>45205</v>
      </c>
      <c r="C858" s="1" t="n">
        <v>45338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48377-2023</t>
        </is>
      </c>
      <c r="B859" s="1" t="n">
        <v>45205</v>
      </c>
      <c r="C859" s="1" t="n">
        <v>45338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48321-2023</t>
        </is>
      </c>
      <c r="B860" s="1" t="n">
        <v>45205</v>
      </c>
      <c r="C860" s="1" t="n">
        <v>45338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48851-2023</t>
        </is>
      </c>
      <c r="B861" s="1" t="n">
        <v>45209</v>
      </c>
      <c r="C861" s="1" t="n">
        <v>45338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48858-2023</t>
        </is>
      </c>
      <c r="B862" s="1" t="n">
        <v>45209</v>
      </c>
      <c r="C862" s="1" t="n">
        <v>45338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48848-2023</t>
        </is>
      </c>
      <c r="B863" s="1" t="n">
        <v>45209</v>
      </c>
      <c r="C863" s="1" t="n">
        <v>45338</v>
      </c>
      <c r="D863" t="inlineStr">
        <is>
          <t>SÖDERMANLANDS LÄN</t>
        </is>
      </c>
      <c r="E863" t="inlineStr">
        <is>
          <t>FLEN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48852-2023</t>
        </is>
      </c>
      <c r="B864" s="1" t="n">
        <v>45209</v>
      </c>
      <c r="C864" s="1" t="n">
        <v>45338</v>
      </c>
      <c r="D864" t="inlineStr">
        <is>
          <t>SÖDERMANLANDS LÄN</t>
        </is>
      </c>
      <c r="E864" t="inlineStr">
        <is>
          <t>FLEN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48864-2023</t>
        </is>
      </c>
      <c r="B865" s="1" t="n">
        <v>45209</v>
      </c>
      <c r="C865" s="1" t="n">
        <v>45338</v>
      </c>
      <c r="D865" t="inlineStr">
        <is>
          <t>SÖDERMANLANDS LÄN</t>
        </is>
      </c>
      <c r="E865" t="inlineStr">
        <is>
          <t>FLEN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48899-2023</t>
        </is>
      </c>
      <c r="B866" s="1" t="n">
        <v>45209</v>
      </c>
      <c r="C866" s="1" t="n">
        <v>45338</v>
      </c>
      <c r="D866" t="inlineStr">
        <is>
          <t>SÖDERMANLANDS LÄN</t>
        </is>
      </c>
      <c r="E866" t="inlineStr">
        <is>
          <t>FLEN</t>
        </is>
      </c>
      <c r="F866" t="inlineStr">
        <is>
          <t>Övriga statliga verk och myndigheter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49045-2023</t>
        </is>
      </c>
      <c r="B867" s="1" t="n">
        <v>45209</v>
      </c>
      <c r="C867" s="1" t="n">
        <v>45338</v>
      </c>
      <c r="D867" t="inlineStr">
        <is>
          <t>SÖDERMANLANDS LÄN</t>
        </is>
      </c>
      <c r="E867" t="inlineStr">
        <is>
          <t>FLEN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49807-2023</t>
        </is>
      </c>
      <c r="B868" s="1" t="n">
        <v>45211</v>
      </c>
      <c r="C868" s="1" t="n">
        <v>45338</v>
      </c>
      <c r="D868" t="inlineStr">
        <is>
          <t>SÖDERMANLANDS LÄN</t>
        </is>
      </c>
      <c r="E868" t="inlineStr">
        <is>
          <t>FLEN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49816-2023</t>
        </is>
      </c>
      <c r="B869" s="1" t="n">
        <v>45211</v>
      </c>
      <c r="C869" s="1" t="n">
        <v>45338</v>
      </c>
      <c r="D869" t="inlineStr">
        <is>
          <t>SÖDERMANLANDS LÄN</t>
        </is>
      </c>
      <c r="E869" t="inlineStr">
        <is>
          <t>FLEN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49811-2023</t>
        </is>
      </c>
      <c r="B870" s="1" t="n">
        <v>45211</v>
      </c>
      <c r="C870" s="1" t="n">
        <v>45338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49820-2023</t>
        </is>
      </c>
      <c r="B871" s="1" t="n">
        <v>45211</v>
      </c>
      <c r="C871" s="1" t="n">
        <v>45338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50949-2023</t>
        </is>
      </c>
      <c r="B872" s="1" t="n">
        <v>45211</v>
      </c>
      <c r="C872" s="1" t="n">
        <v>45338</v>
      </c>
      <c r="D872" t="inlineStr">
        <is>
          <t>SÖDERMANLANDS LÄN</t>
        </is>
      </c>
      <c r="E872" t="inlineStr">
        <is>
          <t>FLEN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50891-2023</t>
        </is>
      </c>
      <c r="B873" s="1" t="n">
        <v>45211</v>
      </c>
      <c r="C873" s="1" t="n">
        <v>45338</v>
      </c>
      <c r="D873" t="inlineStr">
        <is>
          <t>SÖDERMANLANDS LÄN</t>
        </is>
      </c>
      <c r="E873" t="inlineStr">
        <is>
          <t>FLEN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49716-2023</t>
        </is>
      </c>
      <c r="B874" s="1" t="n">
        <v>45212</v>
      </c>
      <c r="C874" s="1" t="n">
        <v>45338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49720-2023</t>
        </is>
      </c>
      <c r="B875" s="1" t="n">
        <v>45212</v>
      </c>
      <c r="C875" s="1" t="n">
        <v>45338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49890-2023</t>
        </is>
      </c>
      <c r="B876" s="1" t="n">
        <v>45213</v>
      </c>
      <c r="C876" s="1" t="n">
        <v>45338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49891-2023</t>
        </is>
      </c>
      <c r="B877" s="1" t="n">
        <v>45213</v>
      </c>
      <c r="C877" s="1" t="n">
        <v>45338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49915-2023</t>
        </is>
      </c>
      <c r="B878" s="1" t="n">
        <v>45214</v>
      </c>
      <c r="C878" s="1" t="n">
        <v>45338</v>
      </c>
      <c r="D878" t="inlineStr">
        <is>
          <t>SÖDERMANLANDS LÄN</t>
        </is>
      </c>
      <c r="E878" t="inlineStr">
        <is>
          <t>FLEN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49913-2023</t>
        </is>
      </c>
      <c r="B879" s="1" t="n">
        <v>45214</v>
      </c>
      <c r="C879" s="1" t="n">
        <v>45338</v>
      </c>
      <c r="D879" t="inlineStr">
        <is>
          <t>SÖDERMANLANDS LÄN</t>
        </is>
      </c>
      <c r="E879" t="inlineStr">
        <is>
          <t>FLEN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50028-2023</t>
        </is>
      </c>
      <c r="B880" s="1" t="n">
        <v>45215</v>
      </c>
      <c r="C880" s="1" t="n">
        <v>45338</v>
      </c>
      <c r="D880" t="inlineStr">
        <is>
          <t>SÖDERMANLANDS LÄN</t>
        </is>
      </c>
      <c r="E880" t="inlineStr">
        <is>
          <t>FLEN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50047-2023</t>
        </is>
      </c>
      <c r="B881" s="1" t="n">
        <v>45215</v>
      </c>
      <c r="C881" s="1" t="n">
        <v>45338</v>
      </c>
      <c r="D881" t="inlineStr">
        <is>
          <t>SÖDERMANLANDS LÄN</t>
        </is>
      </c>
      <c r="E881" t="inlineStr">
        <is>
          <t>FLEN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50358-2023</t>
        </is>
      </c>
      <c r="B882" s="1" t="n">
        <v>45216</v>
      </c>
      <c r="C882" s="1" t="n">
        <v>45338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50646-2023</t>
        </is>
      </c>
      <c r="B883" s="1" t="n">
        <v>45217</v>
      </c>
      <c r="C883" s="1" t="n">
        <v>45338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50869-2023</t>
        </is>
      </c>
      <c r="B884" s="1" t="n">
        <v>45218</v>
      </c>
      <c r="C884" s="1" t="n">
        <v>45338</v>
      </c>
      <c r="D884" t="inlineStr">
        <is>
          <t>SÖDERMANLANDS LÄN</t>
        </is>
      </c>
      <c r="E884" t="inlineStr">
        <is>
          <t>FLEN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52561-2023</t>
        </is>
      </c>
      <c r="B885" s="1" t="n">
        <v>45218</v>
      </c>
      <c r="C885" s="1" t="n">
        <v>45338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51768-2023</t>
        </is>
      </c>
      <c r="B886" s="1" t="n">
        <v>45222</v>
      </c>
      <c r="C886" s="1" t="n">
        <v>45338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51772-2023</t>
        </is>
      </c>
      <c r="B887" s="1" t="n">
        <v>45222</v>
      </c>
      <c r="C887" s="1" t="n">
        <v>45338</v>
      </c>
      <c r="D887" t="inlineStr">
        <is>
          <t>SÖDERMANLANDS LÄN</t>
        </is>
      </c>
      <c r="E887" t="inlineStr">
        <is>
          <t>FLEN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51773-2023</t>
        </is>
      </c>
      <c r="B888" s="1" t="n">
        <v>45222</v>
      </c>
      <c r="C888" s="1" t="n">
        <v>45338</v>
      </c>
      <c r="D888" t="inlineStr">
        <is>
          <t>SÖDERMANLANDS LÄN</t>
        </is>
      </c>
      <c r="E888" t="inlineStr">
        <is>
          <t>FLEN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53339-2023</t>
        </is>
      </c>
      <c r="B889" s="1" t="n">
        <v>45222</v>
      </c>
      <c r="C889" s="1" t="n">
        <v>45338</v>
      </c>
      <c r="D889" t="inlineStr">
        <is>
          <t>SÖDERMANLANDS LÄN</t>
        </is>
      </c>
      <c r="E889" t="inlineStr">
        <is>
          <t>FLEN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52353-2023</t>
        </is>
      </c>
      <c r="B890" s="1" t="n">
        <v>45224</v>
      </c>
      <c r="C890" s="1" t="n">
        <v>45338</v>
      </c>
      <c r="D890" t="inlineStr">
        <is>
          <t>SÖDERMANLANDS LÄN</t>
        </is>
      </c>
      <c r="E890" t="inlineStr">
        <is>
          <t>FLEN</t>
        </is>
      </c>
      <c r="F890" t="inlineStr">
        <is>
          <t>Kyrkan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52463-2023</t>
        </is>
      </c>
      <c r="B891" s="1" t="n">
        <v>45225</v>
      </c>
      <c r="C891" s="1" t="n">
        <v>45338</v>
      </c>
      <c r="D891" t="inlineStr">
        <is>
          <t>SÖDERMANLANDS LÄN</t>
        </is>
      </c>
      <c r="E891" t="inlineStr">
        <is>
          <t>FLEN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52474-2023</t>
        </is>
      </c>
      <c r="B892" s="1" t="n">
        <v>45225</v>
      </c>
      <c r="C892" s="1" t="n">
        <v>45338</v>
      </c>
      <c r="D892" t="inlineStr">
        <is>
          <t>SÖDERMANLANDS LÄN</t>
        </is>
      </c>
      <c r="E892" t="inlineStr">
        <is>
          <t>FLEN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52472-2023</t>
        </is>
      </c>
      <c r="B893" s="1" t="n">
        <v>45225</v>
      </c>
      <c r="C893" s="1" t="n">
        <v>45338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52496-2023</t>
        </is>
      </c>
      <c r="B894" s="1" t="n">
        <v>45225</v>
      </c>
      <c r="C894" s="1" t="n">
        <v>45338</v>
      </c>
      <c r="D894" t="inlineStr">
        <is>
          <t>SÖDERMANLANDS LÄN</t>
        </is>
      </c>
      <c r="E894" t="inlineStr">
        <is>
          <t>FLEN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52481-2023</t>
        </is>
      </c>
      <c r="B895" s="1" t="n">
        <v>45225</v>
      </c>
      <c r="C895" s="1" t="n">
        <v>45338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54340-2023</t>
        </is>
      </c>
      <c r="B896" s="1" t="n">
        <v>45225</v>
      </c>
      <c r="C896" s="1" t="n">
        <v>45338</v>
      </c>
      <c r="D896" t="inlineStr">
        <is>
          <t>SÖDERMANLANDS LÄN</t>
        </is>
      </c>
      <c r="E896" t="inlineStr">
        <is>
          <t>FLEN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52980-2023</t>
        </is>
      </c>
      <c r="B897" s="1" t="n">
        <v>45226</v>
      </c>
      <c r="C897" s="1" t="n">
        <v>45338</v>
      </c>
      <c r="D897" t="inlineStr">
        <is>
          <t>SÖDERMANLANDS LÄN</t>
        </is>
      </c>
      <c r="E897" t="inlineStr">
        <is>
          <t>FLEN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53119-2023</t>
        </is>
      </c>
      <c r="B898" s="1" t="n">
        <v>45228</v>
      </c>
      <c r="C898" s="1" t="n">
        <v>45338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53121-2023</t>
        </is>
      </c>
      <c r="B899" s="1" t="n">
        <v>45228</v>
      </c>
      <c r="C899" s="1" t="n">
        <v>45338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53509-2023</t>
        </is>
      </c>
      <c r="B900" s="1" t="n">
        <v>45230</v>
      </c>
      <c r="C900" s="1" t="n">
        <v>45338</v>
      </c>
      <c r="D900" t="inlineStr">
        <is>
          <t>SÖDERMANLANDS LÄN</t>
        </is>
      </c>
      <c r="E900" t="inlineStr">
        <is>
          <t>FLEN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53513-2023</t>
        </is>
      </c>
      <c r="B901" s="1" t="n">
        <v>45230</v>
      </c>
      <c r="C901" s="1" t="n">
        <v>45338</v>
      </c>
      <c r="D901" t="inlineStr">
        <is>
          <t>SÖDERMANLANDS LÄN</t>
        </is>
      </c>
      <c r="E901" t="inlineStr">
        <is>
          <t>FLEN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53518-2023</t>
        </is>
      </c>
      <c r="B902" s="1" t="n">
        <v>45230</v>
      </c>
      <c r="C902" s="1" t="n">
        <v>45338</v>
      </c>
      <c r="D902" t="inlineStr">
        <is>
          <t>SÖDERMANLANDS LÄN</t>
        </is>
      </c>
      <c r="E902" t="inlineStr">
        <is>
          <t>FLEN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53590-2023</t>
        </is>
      </c>
      <c r="B903" s="1" t="n">
        <v>45230</v>
      </c>
      <c r="C903" s="1" t="n">
        <v>45338</v>
      </c>
      <c r="D903" t="inlineStr">
        <is>
          <t>SÖDERMANLANDS LÄN</t>
        </is>
      </c>
      <c r="E903" t="inlineStr">
        <is>
          <t>FLEN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53837-2023</t>
        </is>
      </c>
      <c r="B904" s="1" t="n">
        <v>45230</v>
      </c>
      <c r="C904" s="1" t="n">
        <v>45338</v>
      </c>
      <c r="D904" t="inlineStr">
        <is>
          <t>SÖDERMANLANDS LÄN</t>
        </is>
      </c>
      <c r="E904" t="inlineStr">
        <is>
          <t>FLEN</t>
        </is>
      </c>
      <c r="G904" t="n">
        <v>13.6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53517-2023</t>
        </is>
      </c>
      <c r="B905" s="1" t="n">
        <v>45230</v>
      </c>
      <c r="C905" s="1" t="n">
        <v>45338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53507-2023</t>
        </is>
      </c>
      <c r="B906" s="1" t="n">
        <v>45230</v>
      </c>
      <c r="C906" s="1" t="n">
        <v>45338</v>
      </c>
      <c r="D906" t="inlineStr">
        <is>
          <t>SÖDERMANLANDS LÄN</t>
        </is>
      </c>
      <c r="E906" t="inlineStr">
        <is>
          <t>FLEN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53779-2023</t>
        </is>
      </c>
      <c r="B907" s="1" t="n">
        <v>45231</v>
      </c>
      <c r="C907" s="1" t="n">
        <v>45338</v>
      </c>
      <c r="D907" t="inlineStr">
        <is>
          <t>SÖDERMANLANDS LÄN</t>
        </is>
      </c>
      <c r="E907" t="inlineStr">
        <is>
          <t>FLEN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53896-2023</t>
        </is>
      </c>
      <c r="B908" s="1" t="n">
        <v>45231</v>
      </c>
      <c r="C908" s="1" t="n">
        <v>45338</v>
      </c>
      <c r="D908" t="inlineStr">
        <is>
          <t>SÖDERMANLANDS LÄN</t>
        </is>
      </c>
      <c r="E908" t="inlineStr">
        <is>
          <t>FLEN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55452-2023</t>
        </is>
      </c>
      <c r="B909" s="1" t="n">
        <v>45231</v>
      </c>
      <c r="C909" s="1" t="n">
        <v>45338</v>
      </c>
      <c r="D909" t="inlineStr">
        <is>
          <t>SÖDERMANLANDS LÄN</t>
        </is>
      </c>
      <c r="E909" t="inlineStr">
        <is>
          <t>FLEN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55211-2023</t>
        </is>
      </c>
      <c r="B910" s="1" t="n">
        <v>45231</v>
      </c>
      <c r="C910" s="1" t="n">
        <v>45338</v>
      </c>
      <c r="D910" t="inlineStr">
        <is>
          <t>SÖDERMANLANDS LÄN</t>
        </is>
      </c>
      <c r="E910" t="inlineStr">
        <is>
          <t>FLEN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55260-2023</t>
        </is>
      </c>
      <c r="B911" s="1" t="n">
        <v>45237</v>
      </c>
      <c r="C911" s="1" t="n">
        <v>45338</v>
      </c>
      <c r="D911" t="inlineStr">
        <is>
          <t>SÖDERMANLANDS LÄN</t>
        </is>
      </c>
      <c r="E911" t="inlineStr">
        <is>
          <t>FLEN</t>
        </is>
      </c>
      <c r="G911" t="n">
        <v>17.1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55228-2023</t>
        </is>
      </c>
      <c r="B912" s="1" t="n">
        <v>45237</v>
      </c>
      <c r="C912" s="1" t="n">
        <v>45338</v>
      </c>
      <c r="D912" t="inlineStr">
        <is>
          <t>SÖDERMANLANDS LÄN</t>
        </is>
      </c>
      <c r="E912" t="inlineStr">
        <is>
          <t>FLEN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55748-2023</t>
        </is>
      </c>
      <c r="B913" s="1" t="n">
        <v>45239</v>
      </c>
      <c r="C913" s="1" t="n">
        <v>45338</v>
      </c>
      <c r="D913" t="inlineStr">
        <is>
          <t>SÖDERMANLANDS LÄN</t>
        </is>
      </c>
      <c r="E913" t="inlineStr">
        <is>
          <t>FLEN</t>
        </is>
      </c>
      <c r="F913" t="inlineStr">
        <is>
          <t>Kyrkan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57130-2023</t>
        </is>
      </c>
      <c r="B914" s="1" t="n">
        <v>45239</v>
      </c>
      <c r="C914" s="1" t="n">
        <v>45338</v>
      </c>
      <c r="D914" t="inlineStr">
        <is>
          <t>SÖDERMANLANDS LÄN</t>
        </is>
      </c>
      <c r="E914" t="inlineStr">
        <is>
          <t>FLEN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HYPERLINK("https://klasma.github.io/Logging_0482/knärot/A 57130-2023 karta knärot.png", "A 57130-2023")</f>
        <v/>
      </c>
      <c r="V914">
        <f>HYPERLINK("https://klasma.github.io/Logging_0482/klagomål/A 57130-2023 FSC-klagomål.docx", "A 57130-2023")</f>
        <v/>
      </c>
      <c r="W914">
        <f>HYPERLINK("https://klasma.github.io/Logging_0482/klagomålsmail/A 57130-2023 FSC-klagomål mail.docx", "A 57130-2023")</f>
        <v/>
      </c>
      <c r="X914">
        <f>HYPERLINK("https://klasma.github.io/Logging_0482/tillsyn/A 57130-2023 tillsynsbegäran.docx", "A 57130-2023")</f>
        <v/>
      </c>
      <c r="Y914">
        <f>HYPERLINK("https://klasma.github.io/Logging_0482/tillsynsmail/A 57130-2023 tillsynsbegäran mail.docx", "A 57130-2023")</f>
        <v/>
      </c>
    </row>
    <row r="915" ht="15" customHeight="1">
      <c r="A915" t="inlineStr">
        <is>
          <t>A 56869-2023</t>
        </is>
      </c>
      <c r="B915" s="1" t="n">
        <v>45239</v>
      </c>
      <c r="C915" s="1" t="n">
        <v>45338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56030-2023</t>
        </is>
      </c>
      <c r="B916" s="1" t="n">
        <v>45240</v>
      </c>
      <c r="C916" s="1" t="n">
        <v>45338</v>
      </c>
      <c r="D916" t="inlineStr">
        <is>
          <t>SÖDERMANLANDS LÄN</t>
        </is>
      </c>
      <c r="E916" t="inlineStr">
        <is>
          <t>FLEN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56534-2023</t>
        </is>
      </c>
      <c r="B917" s="1" t="n">
        <v>45243</v>
      </c>
      <c r="C917" s="1" t="n">
        <v>45338</v>
      </c>
      <c r="D917" t="inlineStr">
        <is>
          <t>SÖDERMANLANDS LÄN</t>
        </is>
      </c>
      <c r="E917" t="inlineStr">
        <is>
          <t>FLEN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57527-2023</t>
        </is>
      </c>
      <c r="B918" s="1" t="n">
        <v>45243</v>
      </c>
      <c r="C918" s="1" t="n">
        <v>45338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57005-2023</t>
        </is>
      </c>
      <c r="B919" s="1" t="n">
        <v>45244</v>
      </c>
      <c r="C919" s="1" t="n">
        <v>45338</v>
      </c>
      <c r="D919" t="inlineStr">
        <is>
          <t>SÖDERMANLANDS LÄN</t>
        </is>
      </c>
      <c r="E919" t="inlineStr">
        <is>
          <t>FLEN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57046-2023</t>
        </is>
      </c>
      <c r="B920" s="1" t="n">
        <v>45244</v>
      </c>
      <c r="C920" s="1" t="n">
        <v>45338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56835-2023</t>
        </is>
      </c>
      <c r="B921" s="1" t="n">
        <v>45244</v>
      </c>
      <c r="C921" s="1" t="n">
        <v>45338</v>
      </c>
      <c r="D921" t="inlineStr">
        <is>
          <t>SÖDERMANLANDS LÄN</t>
        </is>
      </c>
      <c r="E921" t="inlineStr">
        <is>
          <t>FLEN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56991-2023</t>
        </is>
      </c>
      <c r="B922" s="1" t="n">
        <v>45244</v>
      </c>
      <c r="C922" s="1" t="n">
        <v>45338</v>
      </c>
      <c r="D922" t="inlineStr">
        <is>
          <t>SÖDERMANLANDS LÄN</t>
        </is>
      </c>
      <c r="E922" t="inlineStr">
        <is>
          <t>FLEN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57003-2023</t>
        </is>
      </c>
      <c r="B923" s="1" t="n">
        <v>45244</v>
      </c>
      <c r="C923" s="1" t="n">
        <v>45338</v>
      </c>
      <c r="D923" t="inlineStr">
        <is>
          <t>SÖDERMANLANDS LÄN</t>
        </is>
      </c>
      <c r="E923" t="inlineStr">
        <is>
          <t>FLEN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57044-2023</t>
        </is>
      </c>
      <c r="B924" s="1" t="n">
        <v>45244</v>
      </c>
      <c r="C924" s="1" t="n">
        <v>45338</v>
      </c>
      <c r="D924" t="inlineStr">
        <is>
          <t>SÖDERMANLANDS LÄN</t>
        </is>
      </c>
      <c r="E924" t="inlineStr">
        <is>
          <t>FLEN</t>
        </is>
      </c>
      <c r="F924" t="inlineStr">
        <is>
          <t>Övriga statliga verk och myndigheter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56996-2023</t>
        </is>
      </c>
      <c r="B925" s="1" t="n">
        <v>45244</v>
      </c>
      <c r="C925" s="1" t="n">
        <v>45338</v>
      </c>
      <c r="D925" t="inlineStr">
        <is>
          <t>SÖDERMANLANDS LÄN</t>
        </is>
      </c>
      <c r="E925" t="inlineStr">
        <is>
          <t>FLEN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58265-2023</t>
        </is>
      </c>
      <c r="B926" s="1" t="n">
        <v>45250</v>
      </c>
      <c r="C926" s="1" t="n">
        <v>45338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58926-2023</t>
        </is>
      </c>
      <c r="B927" s="1" t="n">
        <v>45250</v>
      </c>
      <c r="C927" s="1" t="n">
        <v>45338</v>
      </c>
      <c r="D927" t="inlineStr">
        <is>
          <t>SÖDERMANLANDS LÄN</t>
        </is>
      </c>
      <c r="E927" t="inlineStr">
        <is>
          <t>FLEN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58294-2023</t>
        </is>
      </c>
      <c r="B928" s="1" t="n">
        <v>45250</v>
      </c>
      <c r="C928" s="1" t="n">
        <v>45338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58364-2023</t>
        </is>
      </c>
      <c r="B929" s="1" t="n">
        <v>45250</v>
      </c>
      <c r="C929" s="1" t="n">
        <v>45338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58267-2023</t>
        </is>
      </c>
      <c r="B930" s="1" t="n">
        <v>45250</v>
      </c>
      <c r="C930" s="1" t="n">
        <v>45338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14.7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58887-2023</t>
        </is>
      </c>
      <c r="B931" s="1" t="n">
        <v>45250</v>
      </c>
      <c r="C931" s="1" t="n">
        <v>45338</v>
      </c>
      <c r="D931" t="inlineStr">
        <is>
          <t>SÖDERMANLANDS LÄN</t>
        </is>
      </c>
      <c r="E931" t="inlineStr">
        <is>
          <t>FLEN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58377-2023</t>
        </is>
      </c>
      <c r="B932" s="1" t="n">
        <v>45250</v>
      </c>
      <c r="C932" s="1" t="n">
        <v>45338</v>
      </c>
      <c r="D932" t="inlineStr">
        <is>
          <t>SÖDERMANLANDS LÄN</t>
        </is>
      </c>
      <c r="E932" t="inlineStr">
        <is>
          <t>FLEN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58922-2023</t>
        </is>
      </c>
      <c r="B933" s="1" t="n">
        <v>45250</v>
      </c>
      <c r="C933" s="1" t="n">
        <v>45338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58635-2023</t>
        </is>
      </c>
      <c r="B934" s="1" t="n">
        <v>45251</v>
      </c>
      <c r="C934" s="1" t="n">
        <v>45338</v>
      </c>
      <c r="D934" t="inlineStr">
        <is>
          <t>SÖDERMANLANDS LÄN</t>
        </is>
      </c>
      <c r="E934" t="inlineStr">
        <is>
          <t>FLEN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59051-2023</t>
        </is>
      </c>
      <c r="B935" s="1" t="n">
        <v>45252</v>
      </c>
      <c r="C935" s="1" t="n">
        <v>45338</v>
      </c>
      <c r="D935" t="inlineStr">
        <is>
          <t>SÖDERMANLANDS LÄN</t>
        </is>
      </c>
      <c r="E935" t="inlineStr">
        <is>
          <t>FLEN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59135-2023</t>
        </is>
      </c>
      <c r="B936" s="1" t="n">
        <v>45253</v>
      </c>
      <c r="C936" s="1" t="n">
        <v>45338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59693-2023</t>
        </is>
      </c>
      <c r="B937" s="1" t="n">
        <v>45256</v>
      </c>
      <c r="C937" s="1" t="n">
        <v>45338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59690-2023</t>
        </is>
      </c>
      <c r="B938" s="1" t="n">
        <v>45256</v>
      </c>
      <c r="C938" s="1" t="n">
        <v>45338</v>
      </c>
      <c r="D938" t="inlineStr">
        <is>
          <t>SÖDERMANLANDS LÄN</t>
        </is>
      </c>
      <c r="E938" t="inlineStr">
        <is>
          <t>FLEN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59691-2023</t>
        </is>
      </c>
      <c r="B939" s="1" t="n">
        <v>45256</v>
      </c>
      <c r="C939" s="1" t="n">
        <v>45338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59779-2023</t>
        </is>
      </c>
      <c r="B940" s="1" t="n">
        <v>45257</v>
      </c>
      <c r="C940" s="1" t="n">
        <v>45338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60685-2023</t>
        </is>
      </c>
      <c r="B941" s="1" t="n">
        <v>45260</v>
      </c>
      <c r="C941" s="1" t="n">
        <v>45338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60615-2023</t>
        </is>
      </c>
      <c r="B942" s="1" t="n">
        <v>45260</v>
      </c>
      <c r="C942" s="1" t="n">
        <v>45338</v>
      </c>
      <c r="D942" t="inlineStr">
        <is>
          <t>SÖDERMANLANDS LÄN</t>
        </is>
      </c>
      <c r="E942" t="inlineStr">
        <is>
          <t>FLEN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60613-2023</t>
        </is>
      </c>
      <c r="B943" s="1" t="n">
        <v>45260</v>
      </c>
      <c r="C943" s="1" t="n">
        <v>45338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61892-2023</t>
        </is>
      </c>
      <c r="B944" s="1" t="n">
        <v>45264</v>
      </c>
      <c r="C944" s="1" t="n">
        <v>45338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61899-2023</t>
        </is>
      </c>
      <c r="B945" s="1" t="n">
        <v>45264</v>
      </c>
      <c r="C945" s="1" t="n">
        <v>45338</v>
      </c>
      <c r="D945" t="inlineStr">
        <is>
          <t>SÖDERMANLANDS LÄN</t>
        </is>
      </c>
      <c r="E945" t="inlineStr">
        <is>
          <t>FLEN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61951-2023</t>
        </is>
      </c>
      <c r="B946" s="1" t="n">
        <v>45266</v>
      </c>
      <c r="C946" s="1" t="n">
        <v>45338</v>
      </c>
      <c r="D946" t="inlineStr">
        <is>
          <t>SÖDERMANLANDS LÄN</t>
        </is>
      </c>
      <c r="E946" t="inlineStr">
        <is>
          <t>FLEN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62517-2023</t>
        </is>
      </c>
      <c r="B947" s="1" t="n">
        <v>45268</v>
      </c>
      <c r="C947" s="1" t="n">
        <v>45338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62515-2023</t>
        </is>
      </c>
      <c r="B948" s="1" t="n">
        <v>45268</v>
      </c>
      <c r="C948" s="1" t="n">
        <v>45338</v>
      </c>
      <c r="D948" t="inlineStr">
        <is>
          <t>SÖDERMANLANDS LÄN</t>
        </is>
      </c>
      <c r="E948" t="inlineStr">
        <is>
          <t>FLEN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62579-2023</t>
        </is>
      </c>
      <c r="B949" s="1" t="n">
        <v>45270</v>
      </c>
      <c r="C949" s="1" t="n">
        <v>45338</v>
      </c>
      <c r="D949" t="inlineStr">
        <is>
          <t>SÖDERMANLANDS LÄN</t>
        </is>
      </c>
      <c r="E949" t="inlineStr">
        <is>
          <t>FLEN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62763-2023</t>
        </is>
      </c>
      <c r="B950" s="1" t="n">
        <v>45271</v>
      </c>
      <c r="C950" s="1" t="n">
        <v>45338</v>
      </c>
      <c r="D950" t="inlineStr">
        <is>
          <t>SÖDERMANLANDS LÄN</t>
        </is>
      </c>
      <c r="E950" t="inlineStr">
        <is>
          <t>FLEN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63016-2023</t>
        </is>
      </c>
      <c r="B951" s="1" t="n">
        <v>45272</v>
      </c>
      <c r="C951" s="1" t="n">
        <v>45338</v>
      </c>
      <c r="D951" t="inlineStr">
        <is>
          <t>SÖDERMANLANDS LÄN</t>
        </is>
      </c>
      <c r="E951" t="inlineStr">
        <is>
          <t>FLEN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63185-2023</t>
        </is>
      </c>
      <c r="B952" s="1" t="n">
        <v>45272</v>
      </c>
      <c r="C952" s="1" t="n">
        <v>45338</v>
      </c>
      <c r="D952" t="inlineStr">
        <is>
          <t>SÖDERMANLANDS LÄN</t>
        </is>
      </c>
      <c r="E952" t="inlineStr">
        <is>
          <t>FLEN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63919-2023</t>
        </is>
      </c>
      <c r="B953" s="1" t="n">
        <v>45278</v>
      </c>
      <c r="C953" s="1" t="n">
        <v>45338</v>
      </c>
      <c r="D953" t="inlineStr">
        <is>
          <t>SÖDERMANLANDS LÄN</t>
        </is>
      </c>
      <c r="E953" t="inlineStr">
        <is>
          <t>FLEN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64480-2023</t>
        </is>
      </c>
      <c r="B954" s="1" t="n">
        <v>45280</v>
      </c>
      <c r="C954" s="1" t="n">
        <v>45338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543-2024</t>
        </is>
      </c>
      <c r="B955" s="1" t="n">
        <v>45299</v>
      </c>
      <c r="C955" s="1" t="n">
        <v>45338</v>
      </c>
      <c r="D955" t="inlineStr">
        <is>
          <t>SÖDERMANLANDS LÄN</t>
        </is>
      </c>
      <c r="E955" t="inlineStr">
        <is>
          <t>FLEN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537-2024</t>
        </is>
      </c>
      <c r="B956" s="1" t="n">
        <v>45299</v>
      </c>
      <c r="C956" s="1" t="n">
        <v>45338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541-2024</t>
        </is>
      </c>
      <c r="B957" s="1" t="n">
        <v>45299</v>
      </c>
      <c r="C957" s="1" t="n">
        <v>45338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545-2024</t>
        </is>
      </c>
      <c r="B958" s="1" t="n">
        <v>45299</v>
      </c>
      <c r="C958" s="1" t="n">
        <v>45338</v>
      </c>
      <c r="D958" t="inlineStr">
        <is>
          <t>SÖDERMANLANDS LÄN</t>
        </is>
      </c>
      <c r="E958" t="inlineStr">
        <is>
          <t>FLEN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1230-2024</t>
        </is>
      </c>
      <c r="B959" s="1" t="n">
        <v>45302</v>
      </c>
      <c r="C959" s="1" t="n">
        <v>45338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1329-2024</t>
        </is>
      </c>
      <c r="B960" s="1" t="n">
        <v>45303</v>
      </c>
      <c r="C960" s="1" t="n">
        <v>45338</v>
      </c>
      <c r="D960" t="inlineStr">
        <is>
          <t>SÖDERMANLANDS LÄN</t>
        </is>
      </c>
      <c r="E960" t="inlineStr">
        <is>
          <t>FLEN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1307-2024</t>
        </is>
      </c>
      <c r="B961" s="1" t="n">
        <v>45303</v>
      </c>
      <c r="C961" s="1" t="n">
        <v>45338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1575-2024</t>
        </is>
      </c>
      <c r="B962" s="1" t="n">
        <v>45306</v>
      </c>
      <c r="C962" s="1" t="n">
        <v>45338</v>
      </c>
      <c r="D962" t="inlineStr">
        <is>
          <t>SÖDERMANLANDS LÄN</t>
        </is>
      </c>
      <c r="E962" t="inlineStr">
        <is>
          <t>FLEN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2087-2024</t>
        </is>
      </c>
      <c r="B963" s="1" t="n">
        <v>45309</v>
      </c>
      <c r="C963" s="1" t="n">
        <v>45338</v>
      </c>
      <c r="D963" t="inlineStr">
        <is>
          <t>SÖDERMANLANDS LÄN</t>
        </is>
      </c>
      <c r="E963" t="inlineStr">
        <is>
          <t>FLEN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2448-2024</t>
        </is>
      </c>
      <c r="B964" s="1" t="n">
        <v>45311</v>
      </c>
      <c r="C964" s="1" t="n">
        <v>45338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45338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45338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2564-2024</t>
        </is>
      </c>
      <c r="B967" s="1" t="n">
        <v>45313</v>
      </c>
      <c r="C967" s="1" t="n">
        <v>45338</v>
      </c>
      <c r="D967" t="inlineStr">
        <is>
          <t>SÖDERMANLANDS LÄN</t>
        </is>
      </c>
      <c r="E967" t="inlineStr">
        <is>
          <t>FLEN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2696-2024</t>
        </is>
      </c>
      <c r="B968" s="1" t="n">
        <v>45314</v>
      </c>
      <c r="C968" s="1" t="n">
        <v>45338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2930-2024</t>
        </is>
      </c>
      <c r="B969" s="1" t="n">
        <v>45315</v>
      </c>
      <c r="C969" s="1" t="n">
        <v>45338</v>
      </c>
      <c r="D969" t="inlineStr">
        <is>
          <t>SÖDERMANLANDS LÄN</t>
        </is>
      </c>
      <c r="E969" t="inlineStr">
        <is>
          <t>FLEN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2901-2024</t>
        </is>
      </c>
      <c r="B970" s="1" t="n">
        <v>45315</v>
      </c>
      <c r="C970" s="1" t="n">
        <v>45338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2968-2024</t>
        </is>
      </c>
      <c r="B971" s="1" t="n">
        <v>45315</v>
      </c>
      <c r="C971" s="1" t="n">
        <v>45338</v>
      </c>
      <c r="D971" t="inlineStr">
        <is>
          <t>SÖDERMANLANDS LÄN</t>
        </is>
      </c>
      <c r="E971" t="inlineStr">
        <is>
          <t>FLEN</t>
        </is>
      </c>
      <c r="F971" t="inlineStr">
        <is>
          <t>Kyrkan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3568-2024</t>
        </is>
      </c>
      <c r="B972" s="1" t="n">
        <v>45320</v>
      </c>
      <c r="C972" s="1" t="n">
        <v>45338</v>
      </c>
      <c r="D972" t="inlineStr">
        <is>
          <t>SÖDERMANLANDS LÄN</t>
        </is>
      </c>
      <c r="E972" t="inlineStr">
        <is>
          <t>FLEN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3648-2024</t>
        </is>
      </c>
      <c r="B973" s="1" t="n">
        <v>45321</v>
      </c>
      <c r="C973" s="1" t="n">
        <v>45338</v>
      </c>
      <c r="D973" t="inlineStr">
        <is>
          <t>SÖDERMANLANDS LÄN</t>
        </is>
      </c>
      <c r="E973" t="inlineStr">
        <is>
          <t>FLEN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3774-2024</t>
        </is>
      </c>
      <c r="B974" s="1" t="n">
        <v>45321</v>
      </c>
      <c r="C974" s="1" t="n">
        <v>45338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3798-2024</t>
        </is>
      </c>
      <c r="B975" s="1" t="n">
        <v>45321</v>
      </c>
      <c r="C975" s="1" t="n">
        <v>45338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3909-2024</t>
        </is>
      </c>
      <c r="B976" s="1" t="n">
        <v>45322</v>
      </c>
      <c r="C976" s="1" t="n">
        <v>45338</v>
      </c>
      <c r="D976" t="inlineStr">
        <is>
          <t>SÖDERMANLANDS LÄN</t>
        </is>
      </c>
      <c r="E976" t="inlineStr">
        <is>
          <t>FLEN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3926-2024</t>
        </is>
      </c>
      <c r="B977" s="1" t="n">
        <v>45322</v>
      </c>
      <c r="C977" s="1" t="n">
        <v>45338</v>
      </c>
      <c r="D977" t="inlineStr">
        <is>
          <t>SÖDERMANLANDS LÄN</t>
        </is>
      </c>
      <c r="E977" t="inlineStr">
        <is>
          <t>FLEN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4015-2024</t>
        </is>
      </c>
      <c r="B978" s="1" t="n">
        <v>45323</v>
      </c>
      <c r="C978" s="1" t="n">
        <v>45338</v>
      </c>
      <c r="D978" t="inlineStr">
        <is>
          <t>SÖDERMANLANDS LÄN</t>
        </is>
      </c>
      <c r="E978" t="inlineStr">
        <is>
          <t>FLEN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4143-2024</t>
        </is>
      </c>
      <c r="B979" s="1" t="n">
        <v>45323</v>
      </c>
      <c r="C979" s="1" t="n">
        <v>45338</v>
      </c>
      <c r="D979" t="inlineStr">
        <is>
          <t>SÖDERMANLANDS LÄN</t>
        </is>
      </c>
      <c r="E979" t="inlineStr">
        <is>
          <t>FLEN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4147-2024</t>
        </is>
      </c>
      <c r="B980" s="1" t="n">
        <v>45323</v>
      </c>
      <c r="C980" s="1" t="n">
        <v>45338</v>
      </c>
      <c r="D980" t="inlineStr">
        <is>
          <t>SÖDERMANLANDS LÄN</t>
        </is>
      </c>
      <c r="E980" t="inlineStr">
        <is>
          <t>FLEN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4451-2024</t>
        </is>
      </c>
      <c r="B981" s="1" t="n">
        <v>45327</v>
      </c>
      <c r="C981" s="1" t="n">
        <v>45338</v>
      </c>
      <c r="D981" t="inlineStr">
        <is>
          <t>SÖDERMANLANDS LÄN</t>
        </is>
      </c>
      <c r="E981" t="inlineStr">
        <is>
          <t>FLEN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4536-2024</t>
        </is>
      </c>
      <c r="B982" s="1" t="n">
        <v>45327</v>
      </c>
      <c r="C982" s="1" t="n">
        <v>45338</v>
      </c>
      <c r="D982" t="inlineStr">
        <is>
          <t>SÖDERMANLANDS LÄN</t>
        </is>
      </c>
      <c r="E982" t="inlineStr">
        <is>
          <t>FLEN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4657-2024</t>
        </is>
      </c>
      <c r="B983" s="1" t="n">
        <v>45328</v>
      </c>
      <c r="C983" s="1" t="n">
        <v>45338</v>
      </c>
      <c r="D983" t="inlineStr">
        <is>
          <t>SÖDERMANLANDS LÄN</t>
        </is>
      </c>
      <c r="E983" t="inlineStr">
        <is>
          <t>FLEN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4724-2024</t>
        </is>
      </c>
      <c r="B984" s="1" t="n">
        <v>45328</v>
      </c>
      <c r="C984" s="1" t="n">
        <v>45338</v>
      </c>
      <c r="D984" t="inlineStr">
        <is>
          <t>SÖDERMANLANDS LÄN</t>
        </is>
      </c>
      <c r="E984" t="inlineStr">
        <is>
          <t>FLEN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4778-2024</t>
        </is>
      </c>
      <c r="B985" s="1" t="n">
        <v>45328</v>
      </c>
      <c r="C985" s="1" t="n">
        <v>45338</v>
      </c>
      <c r="D985" t="inlineStr">
        <is>
          <t>SÖDERMANLANDS LÄN</t>
        </is>
      </c>
      <c r="E985" t="inlineStr">
        <is>
          <t>FLEN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5160-2024</t>
        </is>
      </c>
      <c r="B986" s="1" t="n">
        <v>45330</v>
      </c>
      <c r="C986" s="1" t="n">
        <v>45338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5194-2024</t>
        </is>
      </c>
      <c r="B987" s="1" t="n">
        <v>45330</v>
      </c>
      <c r="C987" s="1" t="n">
        <v>45338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5331-2024</t>
        </is>
      </c>
      <c r="B988" s="1" t="n">
        <v>45331</v>
      </c>
      <c r="C988" s="1" t="n">
        <v>45338</v>
      </c>
      <c r="D988" t="inlineStr">
        <is>
          <t>SÖDERMANLANDS LÄN</t>
        </is>
      </c>
      <c r="E988" t="inlineStr">
        <is>
          <t>FLEN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6097-2024</t>
        </is>
      </c>
      <c r="B989" s="1" t="n">
        <v>45337</v>
      </c>
      <c r="C989" s="1" t="n">
        <v>45338</v>
      </c>
      <c r="D989" t="inlineStr">
        <is>
          <t>SÖDERMANLANDS LÄN</t>
        </is>
      </c>
      <c r="E989" t="inlineStr">
        <is>
          <t>FLEN</t>
        </is>
      </c>
      <c r="G989" t="n">
        <v>28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6109-2024</t>
        </is>
      </c>
      <c r="B990" s="1" t="n">
        <v>45337</v>
      </c>
      <c r="C990" s="1" t="n">
        <v>45338</v>
      </c>
      <c r="D990" t="inlineStr">
        <is>
          <t>SÖDERMANLANDS LÄN</t>
        </is>
      </c>
      <c r="E990" t="inlineStr">
        <is>
          <t>FLEN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6104-2024</t>
        </is>
      </c>
      <c r="B991" s="1" t="n">
        <v>45337</v>
      </c>
      <c r="C991" s="1" t="n">
        <v>45338</v>
      </c>
      <c r="D991" t="inlineStr">
        <is>
          <t>SÖDERMANLANDS LÄN</t>
        </is>
      </c>
      <c r="E991" t="inlineStr">
        <is>
          <t>FLEN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2024-02-16T16:07:47Z</dcterms:created>
  <dcterms:modified xmlns:dcterms="http://purl.org/dc/terms/" xmlns:xsi="http://www.w3.org/2001/XMLSchema-instance" xsi:type="dcterms:W3CDTF">2024-02-16T16:07:47Z</dcterms:modified>
</cp:coreProperties>
</file>