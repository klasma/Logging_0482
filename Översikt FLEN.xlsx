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45758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45758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45758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45758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45758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45758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45758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45758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45758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45758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45758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45758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45758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45758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45758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45758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45758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45758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45758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45758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45758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45758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45758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45758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45758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45758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45758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45758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45758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45758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45758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45758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45758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45758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45758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45758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45758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45758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45758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45758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45758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45758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45758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45758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45758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45758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45758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45758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45758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45758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45758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45758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45758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45758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45758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45758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45758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45758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45758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45758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45758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45758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45758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45758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45758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45758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45758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45758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45758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45758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45758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45758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45758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45758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45758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45758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45758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45758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45758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45758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45758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45758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45758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45758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45758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45758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45758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45758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45758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45758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45758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45758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45758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45758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45758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45758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45758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45758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45758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45758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45758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45758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45758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45758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45758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45758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45758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45758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45758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45758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45758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45758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45758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45758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45758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45758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45758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45758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45758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45758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45758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45758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45758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45758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45758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45758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45758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45758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45758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45758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14273-2025</t>
        </is>
      </c>
      <c r="B132" s="1" t="n">
        <v>45740</v>
      </c>
      <c r="C132" s="1" t="n">
        <v>45758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HYPERLINK("https://klasma.github.io/Logging_040482/artfynd/A 14273-2025 artfynd.xlsx", "A 14273-2025")</f>
        <v/>
      </c>
      <c r="T132">
        <f>HYPERLINK("https://klasma.github.io/Logging_040482/kartor/A 14273-2025 karta.png", "A 14273-2025")</f>
        <v/>
      </c>
      <c r="V132">
        <f>HYPERLINK("https://klasma.github.io/Logging_040482/klagomål/A 14273-2025 FSC-klagomål.docx", "A 14273-2025")</f>
        <v/>
      </c>
      <c r="W132">
        <f>HYPERLINK("https://klasma.github.io/Logging_040482/klagomålsmail/A 14273-2025 FSC-klagomål mail.docx", "A 14273-2025")</f>
        <v/>
      </c>
      <c r="X132">
        <f>HYPERLINK("https://klasma.github.io/Logging_040482/tillsyn/A 14273-2025 tillsynsbegäran.docx", "A 14273-2025")</f>
        <v/>
      </c>
      <c r="Y132">
        <f>HYPERLINK("https://klasma.github.io/Logging_040482/tillsynsmail/A 14273-2025 tillsynsbegäran mail.docx", "A 14273-2025")</f>
        <v/>
      </c>
    </row>
    <row r="133" ht="15" customHeight="1">
      <c r="A133" t="inlineStr">
        <is>
          <t>A 14113-2025</t>
        </is>
      </c>
      <c r="B133" s="1" t="n">
        <v>45740</v>
      </c>
      <c r="C133" s="1" t="n">
        <v>45758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HYPERLINK("https://klasma.github.io/Logging_040482/artfynd/A 14113-2025 artfynd.xlsx", "A 14113-2025")</f>
        <v/>
      </c>
      <c r="T133">
        <f>HYPERLINK("https://klasma.github.io/Logging_040482/kartor/A 14113-2025 karta.png", "A 14113-2025")</f>
        <v/>
      </c>
      <c r="V133">
        <f>HYPERLINK("https://klasma.github.io/Logging_040482/klagomål/A 14113-2025 FSC-klagomål.docx", "A 14113-2025")</f>
        <v/>
      </c>
      <c r="W133">
        <f>HYPERLINK("https://klasma.github.io/Logging_040482/klagomålsmail/A 14113-2025 FSC-klagomål mail.docx", "A 14113-2025")</f>
        <v/>
      </c>
      <c r="X133">
        <f>HYPERLINK("https://klasma.github.io/Logging_040482/tillsyn/A 14113-2025 tillsynsbegäran.docx", "A 14113-2025")</f>
        <v/>
      </c>
      <c r="Y133">
        <f>HYPERLINK("https://klasma.github.io/Logging_040482/tillsynsmail/A 14113-2025 tillsynsbegäran mail.docx", "A 14113-2025")</f>
        <v/>
      </c>
    </row>
    <row r="134" ht="15" customHeight="1">
      <c r="A134" t="inlineStr">
        <is>
          <t>A 16831-2025</t>
        </is>
      </c>
      <c r="B134" s="1" t="n">
        <v>45754</v>
      </c>
      <c r="C134" s="1" t="n">
        <v>45758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6.6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HYPERLINK("https://klasma.github.io/Logging_040482/artfynd/A 16831-2025 artfynd.xlsx", "A 16831-2025")</f>
        <v/>
      </c>
      <c r="T134">
        <f>HYPERLINK("https://klasma.github.io/Logging_040482/kartor/A 16831-2025 karta.png", "A 16831-2025")</f>
        <v/>
      </c>
      <c r="V134">
        <f>HYPERLINK("https://klasma.github.io/Logging_040482/klagomål/A 16831-2025 FSC-klagomål.docx", "A 16831-2025")</f>
        <v/>
      </c>
      <c r="W134">
        <f>HYPERLINK("https://klasma.github.io/Logging_040482/klagomålsmail/A 16831-2025 FSC-klagomål mail.docx", "A 16831-2025")</f>
        <v/>
      </c>
      <c r="X134">
        <f>HYPERLINK("https://klasma.github.io/Logging_040482/tillsyn/A 16831-2025 tillsynsbegäran.docx", "A 16831-2025")</f>
        <v/>
      </c>
      <c r="Y134">
        <f>HYPERLINK("https://klasma.github.io/Logging_040482/tillsynsmail/A 16831-2025 tillsynsbegäran mail.docx", "A 16831-2025")</f>
        <v/>
      </c>
    </row>
    <row r="135" ht="15" customHeight="1">
      <c r="A135" t="inlineStr">
        <is>
          <t>A 18391-2019</t>
        </is>
      </c>
      <c r="B135" s="1" t="n">
        <v>43558</v>
      </c>
      <c r="C135" s="1" t="n">
        <v>45758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45758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45758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45758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45758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45758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45758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45758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45758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45758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45758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45758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45758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45758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45758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45758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35583-2019</t>
        </is>
      </c>
      <c r="B151" s="1" t="n">
        <v>43655</v>
      </c>
      <c r="C151" s="1" t="n">
        <v>45758</v>
      </c>
      <c r="D151" t="inlineStr">
        <is>
          <t>SÖDERMANLANDS LÄN</t>
        </is>
      </c>
      <c r="E151" t="inlineStr">
        <is>
          <t>FLEN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34988-2019</t>
        </is>
      </c>
      <c r="B152" s="1" t="n">
        <v>43659</v>
      </c>
      <c r="C152" s="1" t="n">
        <v>45758</v>
      </c>
      <c r="D152" t="inlineStr">
        <is>
          <t>SÖDERMANLANDS LÄN</t>
        </is>
      </c>
      <c r="E152" t="inlineStr">
        <is>
          <t>FLEN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35023-2019</t>
        </is>
      </c>
      <c r="B153" s="1" t="n">
        <v>43661</v>
      </c>
      <c r="C153" s="1" t="n">
        <v>45758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45758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45758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45758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45758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45758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45758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45758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45758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45758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45758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45758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45758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45758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45758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45758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45758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45758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45758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45758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45758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45758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45758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45758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45758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45758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45758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45758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45758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45758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45758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45758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45758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45758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45758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45758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45758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45758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45758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45758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45758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45758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45758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45758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45758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45758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45758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45758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45758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45758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45758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45758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45758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45758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45758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45758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45758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45758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45758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45758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45758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45758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45758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45758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45758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45758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45758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45758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45758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45758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45758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45758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45758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45758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45758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45758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45758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45758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45758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45758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45758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45758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45758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45758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45758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15132-2020</t>
        </is>
      </c>
      <c r="B238" s="1" t="n">
        <v>43911</v>
      </c>
      <c r="C238" s="1" t="n">
        <v>45758</v>
      </c>
      <c r="D238" t="inlineStr">
        <is>
          <t>SÖDERMANLANDS LÄN</t>
        </is>
      </c>
      <c r="E238" t="inlineStr">
        <is>
          <t>FLEN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16206-2020</t>
        </is>
      </c>
      <c r="B239" s="1" t="n">
        <v>43917</v>
      </c>
      <c r="C239" s="1" t="n">
        <v>45758</v>
      </c>
      <c r="D239" t="inlineStr">
        <is>
          <t>SÖDERMANLANDS LÄN</t>
        </is>
      </c>
      <c r="E239" t="inlineStr">
        <is>
          <t>FLEN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16684-2020</t>
        </is>
      </c>
      <c r="B240" s="1" t="n">
        <v>43920</v>
      </c>
      <c r="C240" s="1" t="n">
        <v>45758</v>
      </c>
      <c r="D240" t="inlineStr">
        <is>
          <t>SÖDERMANLANDS LÄN</t>
        </is>
      </c>
      <c r="E240" t="inlineStr">
        <is>
          <t>FLEN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17154-2020</t>
        </is>
      </c>
      <c r="B241" s="1" t="n">
        <v>43922</v>
      </c>
      <c r="C241" s="1" t="n">
        <v>45758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20002-2020</t>
        </is>
      </c>
      <c r="B242" s="1" t="n">
        <v>43943</v>
      </c>
      <c r="C242" s="1" t="n">
        <v>45758</v>
      </c>
      <c r="D242" t="inlineStr">
        <is>
          <t>SÖDERMANLANDS LÄN</t>
        </is>
      </c>
      <c r="E242" t="inlineStr">
        <is>
          <t>FLEN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20527-2020</t>
        </is>
      </c>
      <c r="B243" s="1" t="n">
        <v>43948</v>
      </c>
      <c r="C243" s="1" t="n">
        <v>45758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21401-2020</t>
        </is>
      </c>
      <c r="B244" s="1" t="n">
        <v>43955</v>
      </c>
      <c r="C244" s="1" t="n">
        <v>45758</v>
      </c>
      <c r="D244" t="inlineStr">
        <is>
          <t>SÖDERMANLANDS LÄN</t>
        </is>
      </c>
      <c r="E244" t="inlineStr">
        <is>
          <t>FLEN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21404-2020</t>
        </is>
      </c>
      <c r="B245" s="1" t="n">
        <v>43955</v>
      </c>
      <c r="C245" s="1" t="n">
        <v>45758</v>
      </c>
      <c r="D245" t="inlineStr">
        <is>
          <t>SÖDERMANLANDS LÄN</t>
        </is>
      </c>
      <c r="E245" t="inlineStr">
        <is>
          <t>FLEN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22347-2020</t>
        </is>
      </c>
      <c r="B246" s="1" t="n">
        <v>43957</v>
      </c>
      <c r="C246" s="1" t="n">
        <v>45758</v>
      </c>
      <c r="D246" t="inlineStr">
        <is>
          <t>SÖDERMANLANDS LÄN</t>
        </is>
      </c>
      <c r="E246" t="inlineStr">
        <is>
          <t>FLEN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21902-2020</t>
        </is>
      </c>
      <c r="B247" s="1" t="n">
        <v>43958</v>
      </c>
      <c r="C247" s="1" t="n">
        <v>45758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22237-2020</t>
        </is>
      </c>
      <c r="B248" s="1" t="n">
        <v>43959</v>
      </c>
      <c r="C248" s="1" t="n">
        <v>45758</v>
      </c>
      <c r="D248" t="inlineStr">
        <is>
          <t>SÖDERMANLANDS LÄN</t>
        </is>
      </c>
      <c r="E248" t="inlineStr">
        <is>
          <t>FLEN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22243-2020</t>
        </is>
      </c>
      <c r="B249" s="1" t="n">
        <v>43959</v>
      </c>
      <c r="C249" s="1" t="n">
        <v>45758</v>
      </c>
      <c r="D249" t="inlineStr">
        <is>
          <t>SÖDERMANLANDS LÄN</t>
        </is>
      </c>
      <c r="E249" t="inlineStr">
        <is>
          <t>FLEN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22241-2020</t>
        </is>
      </c>
      <c r="B250" s="1" t="n">
        <v>43959</v>
      </c>
      <c r="C250" s="1" t="n">
        <v>45758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25067-2020</t>
        </is>
      </c>
      <c r="B251" s="1" t="n">
        <v>43979</v>
      </c>
      <c r="C251" s="1" t="n">
        <v>45758</v>
      </c>
      <c r="D251" t="inlineStr">
        <is>
          <t>SÖDERMANLANDS LÄN</t>
        </is>
      </c>
      <c r="E251" t="inlineStr">
        <is>
          <t>FLEN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25280-2020</t>
        </is>
      </c>
      <c r="B252" s="1" t="n">
        <v>43980</v>
      </c>
      <c r="C252" s="1" t="n">
        <v>45758</v>
      </c>
      <c r="D252" t="inlineStr">
        <is>
          <t>SÖDERMANLANDS LÄN</t>
        </is>
      </c>
      <c r="E252" t="inlineStr">
        <is>
          <t>FLEN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25842-2020</t>
        </is>
      </c>
      <c r="B253" s="1" t="n">
        <v>43983</v>
      </c>
      <c r="C253" s="1" t="n">
        <v>45758</v>
      </c>
      <c r="D253" t="inlineStr">
        <is>
          <t>SÖDERMANLANDS LÄN</t>
        </is>
      </c>
      <c r="E253" t="inlineStr">
        <is>
          <t>FLEN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25466-2020</t>
        </is>
      </c>
      <c r="B254" s="1" t="n">
        <v>43983</v>
      </c>
      <c r="C254" s="1" t="n">
        <v>45758</v>
      </c>
      <c r="D254" t="inlineStr">
        <is>
          <t>SÖDERMANLANDS LÄN</t>
        </is>
      </c>
      <c r="E254" t="inlineStr">
        <is>
          <t>FLEN</t>
        </is>
      </c>
      <c r="G254" t="n">
        <v>30.4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25880-2020</t>
        </is>
      </c>
      <c r="B255" s="1" t="n">
        <v>43983</v>
      </c>
      <c r="C255" s="1" t="n">
        <v>45758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26063-2020</t>
        </is>
      </c>
      <c r="B256" s="1" t="n">
        <v>43985</v>
      </c>
      <c r="C256" s="1" t="n">
        <v>45758</v>
      </c>
      <c r="D256" t="inlineStr">
        <is>
          <t>SÖDERMANLANDS LÄN</t>
        </is>
      </c>
      <c r="E256" t="inlineStr">
        <is>
          <t>FLEN</t>
        </is>
      </c>
      <c r="G256" t="n">
        <v>22.3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28981-2020</t>
        </is>
      </c>
      <c r="B257" s="1" t="n">
        <v>43998</v>
      </c>
      <c r="C257" s="1" t="n">
        <v>45758</v>
      </c>
      <c r="D257" t="inlineStr">
        <is>
          <t>SÖDERMANLANDS LÄN</t>
        </is>
      </c>
      <c r="E257" t="inlineStr">
        <is>
          <t>FLEN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28562-2020</t>
        </is>
      </c>
      <c r="B258" s="1" t="n">
        <v>43999</v>
      </c>
      <c r="C258" s="1" t="n">
        <v>45758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28676-2020</t>
        </is>
      </c>
      <c r="B259" s="1" t="n">
        <v>43999</v>
      </c>
      <c r="C259" s="1" t="n">
        <v>45758</v>
      </c>
      <c r="D259" t="inlineStr">
        <is>
          <t>SÖDERMANLANDS LÄN</t>
        </is>
      </c>
      <c r="E259" t="inlineStr">
        <is>
          <t>FLEN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29455-2020</t>
        </is>
      </c>
      <c r="B260" s="1" t="n">
        <v>44004</v>
      </c>
      <c r="C260" s="1" t="n">
        <v>45758</v>
      </c>
      <c r="D260" t="inlineStr">
        <is>
          <t>SÖDERMANLANDS LÄN</t>
        </is>
      </c>
      <c r="E260" t="inlineStr">
        <is>
          <t>FLEN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29557-2020</t>
        </is>
      </c>
      <c r="B261" s="1" t="n">
        <v>44005</v>
      </c>
      <c r="C261" s="1" t="n">
        <v>45758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30209-2020</t>
        </is>
      </c>
      <c r="B262" s="1" t="n">
        <v>44007</v>
      </c>
      <c r="C262" s="1" t="n">
        <v>45758</v>
      </c>
      <c r="D262" t="inlineStr">
        <is>
          <t>SÖDERMANLANDS LÄN</t>
        </is>
      </c>
      <c r="E262" t="inlineStr">
        <is>
          <t>FLEN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30879-2020</t>
        </is>
      </c>
      <c r="B263" s="1" t="n">
        <v>44011</v>
      </c>
      <c r="C263" s="1" t="n">
        <v>45758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30871-2020</t>
        </is>
      </c>
      <c r="B264" s="1" t="n">
        <v>44011</v>
      </c>
      <c r="C264" s="1" t="n">
        <v>45758</v>
      </c>
      <c r="D264" t="inlineStr">
        <is>
          <t>SÖDERMANLANDS LÄN</t>
        </is>
      </c>
      <c r="E264" t="inlineStr">
        <is>
          <t>FLEN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31118-2020</t>
        </is>
      </c>
      <c r="B265" s="1" t="n">
        <v>44012</v>
      </c>
      <c r="C265" s="1" t="n">
        <v>45758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32142-2020</t>
        </is>
      </c>
      <c r="B266" s="1" t="n">
        <v>44015</v>
      </c>
      <c r="C266" s="1" t="n">
        <v>45758</v>
      </c>
      <c r="D266" t="inlineStr">
        <is>
          <t>SÖDERMANLANDS LÄN</t>
        </is>
      </c>
      <c r="E266" t="inlineStr">
        <is>
          <t>FLEN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32366-2020</t>
        </is>
      </c>
      <c r="B267" s="1" t="n">
        <v>44018</v>
      </c>
      <c r="C267" s="1" t="n">
        <v>45758</v>
      </c>
      <c r="D267" t="inlineStr">
        <is>
          <t>SÖDERMANLANDS LÄN</t>
        </is>
      </c>
      <c r="E267" t="inlineStr">
        <is>
          <t>FLEN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32585-2020</t>
        </is>
      </c>
      <c r="B268" s="1" t="n">
        <v>44018</v>
      </c>
      <c r="C268" s="1" t="n">
        <v>45758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33146-2020</t>
        </is>
      </c>
      <c r="B269" s="1" t="n">
        <v>44021</v>
      </c>
      <c r="C269" s="1" t="n">
        <v>45758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33464-2020</t>
        </is>
      </c>
      <c r="B270" s="1" t="n">
        <v>44023</v>
      </c>
      <c r="C270" s="1" t="n">
        <v>45758</v>
      </c>
      <c r="D270" t="inlineStr">
        <is>
          <t>SÖDERMANLANDS LÄN</t>
        </is>
      </c>
      <c r="E270" t="inlineStr">
        <is>
          <t>FLEN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33682-2020</t>
        </is>
      </c>
      <c r="B271" s="1" t="n">
        <v>44026</v>
      </c>
      <c r="C271" s="1" t="n">
        <v>45758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34066-2020</t>
        </is>
      </c>
      <c r="B272" s="1" t="n">
        <v>44027</v>
      </c>
      <c r="C272" s="1" t="n">
        <v>45758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34072-2020</t>
        </is>
      </c>
      <c r="B273" s="1" t="n">
        <v>44028</v>
      </c>
      <c r="C273" s="1" t="n">
        <v>45758</v>
      </c>
      <c r="D273" t="inlineStr">
        <is>
          <t>SÖDERMANLANDS LÄN</t>
        </is>
      </c>
      <c r="E273" t="inlineStr">
        <is>
          <t>FLEN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34489-2020</t>
        </is>
      </c>
      <c r="B274" s="1" t="n">
        <v>44029</v>
      </c>
      <c r="C274" s="1" t="n">
        <v>45758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34992-2020</t>
        </is>
      </c>
      <c r="B275" s="1" t="n">
        <v>44039</v>
      </c>
      <c r="C275" s="1" t="n">
        <v>45758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35093-2020</t>
        </is>
      </c>
      <c r="B276" s="1" t="n">
        <v>44039</v>
      </c>
      <c r="C276" s="1" t="n">
        <v>45758</v>
      </c>
      <c r="D276" t="inlineStr">
        <is>
          <t>SÖDERMANLANDS LÄN</t>
        </is>
      </c>
      <c r="E276" t="inlineStr">
        <is>
          <t>FLEN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35176-2020</t>
        </is>
      </c>
      <c r="B277" s="1" t="n">
        <v>44040</v>
      </c>
      <c r="C277" s="1" t="n">
        <v>45758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35501-2020</t>
        </is>
      </c>
      <c r="B278" s="1" t="n">
        <v>44042</v>
      </c>
      <c r="C278" s="1" t="n">
        <v>45758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35563-2020</t>
        </is>
      </c>
      <c r="B279" s="1" t="n">
        <v>44043</v>
      </c>
      <c r="C279" s="1" t="n">
        <v>45758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35560-2020</t>
        </is>
      </c>
      <c r="B280" s="1" t="n">
        <v>44043</v>
      </c>
      <c r="C280" s="1" t="n">
        <v>45758</v>
      </c>
      <c r="D280" t="inlineStr">
        <is>
          <t>SÖDERMANLANDS LÄN</t>
        </is>
      </c>
      <c r="E280" t="inlineStr">
        <is>
          <t>FLEN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35817-2020</t>
        </is>
      </c>
      <c r="B281" s="1" t="n">
        <v>44047</v>
      </c>
      <c r="C281" s="1" t="n">
        <v>45758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36317-2020</t>
        </is>
      </c>
      <c r="B282" s="1" t="n">
        <v>44049</v>
      </c>
      <c r="C282" s="1" t="n">
        <v>45758</v>
      </c>
      <c r="D282" t="inlineStr">
        <is>
          <t>SÖDERMANLANDS LÄN</t>
        </is>
      </c>
      <c r="E282" t="inlineStr">
        <is>
          <t>FLEN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36366-2020</t>
        </is>
      </c>
      <c r="B283" s="1" t="n">
        <v>44049</v>
      </c>
      <c r="C283" s="1" t="n">
        <v>45758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36880-2020</t>
        </is>
      </c>
      <c r="B284" s="1" t="n">
        <v>44053</v>
      </c>
      <c r="C284" s="1" t="n">
        <v>45758</v>
      </c>
      <c r="D284" t="inlineStr">
        <is>
          <t>SÖDERMANLANDS LÄN</t>
        </is>
      </c>
      <c r="E284" t="inlineStr">
        <is>
          <t>FLEN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36891-2020</t>
        </is>
      </c>
      <c r="B285" s="1" t="n">
        <v>44053</v>
      </c>
      <c r="C285" s="1" t="n">
        <v>45758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37214-2020</t>
        </is>
      </c>
      <c r="B286" s="1" t="n">
        <v>44054</v>
      </c>
      <c r="C286" s="1" t="n">
        <v>45758</v>
      </c>
      <c r="D286" t="inlineStr">
        <is>
          <t>SÖDERMANLANDS LÄN</t>
        </is>
      </c>
      <c r="E286" t="inlineStr">
        <is>
          <t>FLEN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37274-2020</t>
        </is>
      </c>
      <c r="B287" s="1" t="n">
        <v>44054</v>
      </c>
      <c r="C287" s="1" t="n">
        <v>45758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37736-2020</t>
        </is>
      </c>
      <c r="B288" s="1" t="n">
        <v>44056</v>
      </c>
      <c r="C288" s="1" t="n">
        <v>45758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37897-2020</t>
        </is>
      </c>
      <c r="B289" s="1" t="n">
        <v>44057</v>
      </c>
      <c r="C289" s="1" t="n">
        <v>45758</v>
      </c>
      <c r="D289" t="inlineStr">
        <is>
          <t>SÖDERMANLANDS LÄN</t>
        </is>
      </c>
      <c r="E289" t="inlineStr">
        <is>
          <t>FLEN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38613-2020</t>
        </is>
      </c>
      <c r="B290" s="1" t="n">
        <v>44061</v>
      </c>
      <c r="C290" s="1" t="n">
        <v>45758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38849-2020</t>
        </is>
      </c>
      <c r="B291" s="1" t="n">
        <v>44062</v>
      </c>
      <c r="C291" s="1" t="n">
        <v>45758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38854-2020</t>
        </is>
      </c>
      <c r="B292" s="1" t="n">
        <v>44062</v>
      </c>
      <c r="C292" s="1" t="n">
        <v>45758</v>
      </c>
      <c r="D292" t="inlineStr">
        <is>
          <t>SÖDERMANLANDS LÄN</t>
        </is>
      </c>
      <c r="E292" t="inlineStr">
        <is>
          <t>FLEN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40693-2020</t>
        </is>
      </c>
      <c r="B293" s="1" t="n">
        <v>44067</v>
      </c>
      <c r="C293" s="1" t="n">
        <v>45758</v>
      </c>
      <c r="D293" t="inlineStr">
        <is>
          <t>SÖDERMANLANDS LÄN</t>
        </is>
      </c>
      <c r="E293" t="inlineStr">
        <is>
          <t>FLEN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45305-2020</t>
        </is>
      </c>
      <c r="B294" s="1" t="n">
        <v>44085</v>
      </c>
      <c r="C294" s="1" t="n">
        <v>45758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45315-2020</t>
        </is>
      </c>
      <c r="B295" s="1" t="n">
        <v>44085</v>
      </c>
      <c r="C295" s="1" t="n">
        <v>45758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45758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HYPERLINK("https://klasma.github.io/Logging_0482/knärot/A 45265-2020 karta knärot.png", "A 45265-2020")</f>
        <v/>
      </c>
      <c r="V296">
        <f>HYPERLINK("https://klasma.github.io/Logging_0482/klagomål/A 45265-2020 FSC-klagomål.docx", "A 45265-2020")</f>
        <v/>
      </c>
      <c r="W296">
        <f>HYPERLINK("https://klasma.github.io/Logging_0482/klagomålsmail/A 45265-2020 FSC-klagomål mail.docx", "A 45265-2020")</f>
        <v/>
      </c>
      <c r="X296">
        <f>HYPERLINK("https://klasma.github.io/Logging_0482/tillsyn/A 45265-2020 tillsynsbegäran.docx", "A 45265-2020")</f>
        <v/>
      </c>
      <c r="Y296">
        <f>HYPERLINK("https://klasma.github.io/Logging_0482/tillsynsmail/A 45265-2020 tillsynsbegäran mail.docx", "A 45265-2020")</f>
        <v/>
      </c>
    </row>
    <row r="297" ht="15" customHeight="1">
      <c r="A297" t="inlineStr">
        <is>
          <t>A 47401-2020</t>
        </is>
      </c>
      <c r="B297" s="1" t="n">
        <v>44097</v>
      </c>
      <c r="C297" s="1" t="n">
        <v>45758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45758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45758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45758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45758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45758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45758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45758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45758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45758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45758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45758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45758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45758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45758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45758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57682-2020</t>
        </is>
      </c>
      <c r="B313" s="1" t="n">
        <v>44140</v>
      </c>
      <c r="C313" s="1" t="n">
        <v>45758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57689-2020</t>
        </is>
      </c>
      <c r="B314" s="1" t="n">
        <v>44140</v>
      </c>
      <c r="C314" s="1" t="n">
        <v>45758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58592-2020</t>
        </is>
      </c>
      <c r="B315" s="1" t="n">
        <v>44145</v>
      </c>
      <c r="C315" s="1" t="n">
        <v>45758</v>
      </c>
      <c r="D315" t="inlineStr">
        <is>
          <t>SÖDERMANLANDS LÄN</t>
        </is>
      </c>
      <c r="E315" t="inlineStr">
        <is>
          <t>FLEN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45758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60409-2020</t>
        </is>
      </c>
      <c r="B317" s="1" t="n">
        <v>44152</v>
      </c>
      <c r="C317" s="1" t="n">
        <v>45758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61697-2020</t>
        </is>
      </c>
      <c r="B318" s="1" t="n">
        <v>44158</v>
      </c>
      <c r="C318" s="1" t="n">
        <v>45758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61713-2020</t>
        </is>
      </c>
      <c r="B319" s="1" t="n">
        <v>44158</v>
      </c>
      <c r="C319" s="1" t="n">
        <v>45758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62512-2020</t>
        </is>
      </c>
      <c r="B320" s="1" t="n">
        <v>44160</v>
      </c>
      <c r="C320" s="1" t="n">
        <v>45758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65233-2020</t>
        </is>
      </c>
      <c r="B321" s="1" t="n">
        <v>44172</v>
      </c>
      <c r="C321" s="1" t="n">
        <v>45758</v>
      </c>
      <c r="D321" t="inlineStr">
        <is>
          <t>SÖDERMANLANDS LÄN</t>
        </is>
      </c>
      <c r="E321" t="inlineStr">
        <is>
          <t>FLEN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66511-2020</t>
        </is>
      </c>
      <c r="B322" s="1" t="n">
        <v>44178</v>
      </c>
      <c r="C322" s="1" t="n">
        <v>45758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69019-2020</t>
        </is>
      </c>
      <c r="B323" s="1" t="n">
        <v>44187</v>
      </c>
      <c r="C323" s="1" t="n">
        <v>45758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69015-2020</t>
        </is>
      </c>
      <c r="B324" s="1" t="n">
        <v>44188</v>
      </c>
      <c r="C324" s="1" t="n">
        <v>45758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69388-2020</t>
        </is>
      </c>
      <c r="B325" s="1" t="n">
        <v>44193</v>
      </c>
      <c r="C325" s="1" t="n">
        <v>45758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527-2021</t>
        </is>
      </c>
      <c r="B326" s="1" t="n">
        <v>44201</v>
      </c>
      <c r="C326" s="1" t="n">
        <v>45758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587-2021</t>
        </is>
      </c>
      <c r="B327" s="1" t="n">
        <v>44203</v>
      </c>
      <c r="C327" s="1" t="n">
        <v>45758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1329-2021</t>
        </is>
      </c>
      <c r="B328" s="1" t="n">
        <v>44208</v>
      </c>
      <c r="C328" s="1" t="n">
        <v>45758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1333-2021</t>
        </is>
      </c>
      <c r="B329" s="1" t="n">
        <v>44208</v>
      </c>
      <c r="C329" s="1" t="n">
        <v>45758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1330-2021</t>
        </is>
      </c>
      <c r="B330" s="1" t="n">
        <v>44208</v>
      </c>
      <c r="C330" s="1" t="n">
        <v>45758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1565-2021</t>
        </is>
      </c>
      <c r="B331" s="1" t="n">
        <v>44209</v>
      </c>
      <c r="C331" s="1" t="n">
        <v>45758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2460-2021</t>
        </is>
      </c>
      <c r="B332" s="1" t="n">
        <v>44214</v>
      </c>
      <c r="C332" s="1" t="n">
        <v>45758</v>
      </c>
      <c r="D332" t="inlineStr">
        <is>
          <t>SÖDERMANLANDS LÄN</t>
        </is>
      </c>
      <c r="E332" t="inlineStr">
        <is>
          <t>FLEN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2488-2021</t>
        </is>
      </c>
      <c r="B333" s="1" t="n">
        <v>44214</v>
      </c>
      <c r="C333" s="1" t="n">
        <v>45758</v>
      </c>
      <c r="D333" t="inlineStr">
        <is>
          <t>SÖDERMANLANDS LÄN</t>
        </is>
      </c>
      <c r="E333" t="inlineStr">
        <is>
          <t>FLEN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3169-2021</t>
        </is>
      </c>
      <c r="B334" s="1" t="n">
        <v>44217</v>
      </c>
      <c r="C334" s="1" t="n">
        <v>45758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3513-2021</t>
        </is>
      </c>
      <c r="B335" s="1" t="n">
        <v>44218</v>
      </c>
      <c r="C335" s="1" t="n">
        <v>45758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4348-2021</t>
        </is>
      </c>
      <c r="B336" s="1" t="n">
        <v>44223</v>
      </c>
      <c r="C336" s="1" t="n">
        <v>45758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5971-2021</t>
        </is>
      </c>
      <c r="B337" s="1" t="n">
        <v>44230</v>
      </c>
      <c r="C337" s="1" t="n">
        <v>45758</v>
      </c>
      <c r="D337" t="inlineStr">
        <is>
          <t>SÖDERMANLANDS LÄN</t>
        </is>
      </c>
      <c r="E337" t="inlineStr">
        <is>
          <t>FLEN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6827-2021</t>
        </is>
      </c>
      <c r="B338" s="1" t="n">
        <v>44237</v>
      </c>
      <c r="C338" s="1" t="n">
        <v>45758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7858-2021</t>
        </is>
      </c>
      <c r="B339" s="1" t="n">
        <v>44242</v>
      </c>
      <c r="C339" s="1" t="n">
        <v>45758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8141-2021</t>
        </is>
      </c>
      <c r="B340" s="1" t="n">
        <v>44242</v>
      </c>
      <c r="C340" s="1" t="n">
        <v>45758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8762-2021</t>
        </is>
      </c>
      <c r="B341" s="1" t="n">
        <v>44246</v>
      </c>
      <c r="C341" s="1" t="n">
        <v>45758</v>
      </c>
      <c r="D341" t="inlineStr">
        <is>
          <t>SÖDERMANLANDS LÄN</t>
        </is>
      </c>
      <c r="E341" t="inlineStr">
        <is>
          <t>FLEN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8749-2021</t>
        </is>
      </c>
      <c r="B342" s="1" t="n">
        <v>44246</v>
      </c>
      <c r="C342" s="1" t="n">
        <v>45758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8710-2021</t>
        </is>
      </c>
      <c r="B343" s="1" t="n">
        <v>44246</v>
      </c>
      <c r="C343" s="1" t="n">
        <v>45758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8888-2021</t>
        </is>
      </c>
      <c r="B344" s="1" t="n">
        <v>44248</v>
      </c>
      <c r="C344" s="1" t="n">
        <v>45758</v>
      </c>
      <c r="D344" t="inlineStr">
        <is>
          <t>SÖDERMANLANDS LÄN</t>
        </is>
      </c>
      <c r="E344" t="inlineStr">
        <is>
          <t>FLEN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9373-2021</t>
        </is>
      </c>
      <c r="B345" s="1" t="n">
        <v>44250</v>
      </c>
      <c r="C345" s="1" t="n">
        <v>45758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9237-2021</t>
        </is>
      </c>
      <c r="B346" s="1" t="n">
        <v>44250</v>
      </c>
      <c r="C346" s="1" t="n">
        <v>45758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9634-2021</t>
        </is>
      </c>
      <c r="B347" s="1" t="n">
        <v>44252</v>
      </c>
      <c r="C347" s="1" t="n">
        <v>45758</v>
      </c>
      <c r="D347" t="inlineStr">
        <is>
          <t>SÖDERMANLANDS LÄN</t>
        </is>
      </c>
      <c r="E347" t="inlineStr">
        <is>
          <t>FLEN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9674-2021</t>
        </is>
      </c>
      <c r="B348" s="1" t="n">
        <v>44252</v>
      </c>
      <c r="C348" s="1" t="n">
        <v>45758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10607-2021</t>
        </is>
      </c>
      <c r="B349" s="1" t="n">
        <v>44258</v>
      </c>
      <c r="C349" s="1" t="n">
        <v>45758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10980-2021</t>
        </is>
      </c>
      <c r="B350" s="1" t="n">
        <v>44260</v>
      </c>
      <c r="C350" s="1" t="n">
        <v>45758</v>
      </c>
      <c r="D350" t="inlineStr">
        <is>
          <t>SÖDERMANLANDS LÄN</t>
        </is>
      </c>
      <c r="E350" t="inlineStr">
        <is>
          <t>FLEN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11030-2021</t>
        </is>
      </c>
      <c r="B351" s="1" t="n">
        <v>44260</v>
      </c>
      <c r="C351" s="1" t="n">
        <v>45758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11068-2021</t>
        </is>
      </c>
      <c r="B352" s="1" t="n">
        <v>44260</v>
      </c>
      <c r="C352" s="1" t="n">
        <v>45758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11288-2021</t>
        </is>
      </c>
      <c r="B353" s="1" t="n">
        <v>44263</v>
      </c>
      <c r="C353" s="1" t="n">
        <v>45758</v>
      </c>
      <c r="D353" t="inlineStr">
        <is>
          <t>SÖDERMANLANDS LÄN</t>
        </is>
      </c>
      <c r="E353" t="inlineStr">
        <is>
          <t>FLEN</t>
        </is>
      </c>
      <c r="G353" t="n">
        <v>19.1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11302-2021</t>
        </is>
      </c>
      <c r="B354" s="1" t="n">
        <v>44263</v>
      </c>
      <c r="C354" s="1" t="n">
        <v>45758</v>
      </c>
      <c r="D354" t="inlineStr">
        <is>
          <t>SÖDERMANLANDS LÄN</t>
        </is>
      </c>
      <c r="E354" t="inlineStr">
        <is>
          <t>FLEN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11731-2021</t>
        </is>
      </c>
      <c r="B355" s="1" t="n">
        <v>44265</v>
      </c>
      <c r="C355" s="1" t="n">
        <v>45758</v>
      </c>
      <c r="D355" t="inlineStr">
        <is>
          <t>SÖDERMANLANDS LÄN</t>
        </is>
      </c>
      <c r="E355" t="inlineStr">
        <is>
          <t>FLEN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12774-2021</t>
        </is>
      </c>
      <c r="B356" s="1" t="n">
        <v>44270</v>
      </c>
      <c r="C356" s="1" t="n">
        <v>45758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14973-2021</t>
        </is>
      </c>
      <c r="B357" s="1" t="n">
        <v>44281</v>
      </c>
      <c r="C357" s="1" t="n">
        <v>45758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15062-2021</t>
        </is>
      </c>
      <c r="B358" s="1" t="n">
        <v>44281</v>
      </c>
      <c r="C358" s="1" t="n">
        <v>45758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15465-2021</t>
        </is>
      </c>
      <c r="B359" s="1" t="n">
        <v>44285</v>
      </c>
      <c r="C359" s="1" t="n">
        <v>45758</v>
      </c>
      <c r="D359" t="inlineStr">
        <is>
          <t>SÖDERMANLANDS LÄN</t>
        </is>
      </c>
      <c r="E359" t="inlineStr">
        <is>
          <t>FLEN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16281-2021</t>
        </is>
      </c>
      <c r="B360" s="1" t="n">
        <v>44292</v>
      </c>
      <c r="C360" s="1" t="n">
        <v>45758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16275-2021</t>
        </is>
      </c>
      <c r="B361" s="1" t="n">
        <v>44292</v>
      </c>
      <c r="C361" s="1" t="n">
        <v>45758</v>
      </c>
      <c r="D361" t="inlineStr">
        <is>
          <t>SÖDERMANLANDS LÄN</t>
        </is>
      </c>
      <c r="E361" t="inlineStr">
        <is>
          <t>FLEN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16276-2021</t>
        </is>
      </c>
      <c r="B362" s="1" t="n">
        <v>44292</v>
      </c>
      <c r="C362" s="1" t="n">
        <v>45758</v>
      </c>
      <c r="D362" t="inlineStr">
        <is>
          <t>SÖDERMANLANDS LÄN</t>
        </is>
      </c>
      <c r="E362" t="inlineStr">
        <is>
          <t>FLEN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16520-2021</t>
        </is>
      </c>
      <c r="B363" s="1" t="n">
        <v>44293</v>
      </c>
      <c r="C363" s="1" t="n">
        <v>45758</v>
      </c>
      <c r="D363" t="inlineStr">
        <is>
          <t>SÖDERMANLANDS LÄN</t>
        </is>
      </c>
      <c r="E363" t="inlineStr">
        <is>
          <t>FLEN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17203-2021</t>
        </is>
      </c>
      <c r="B364" s="1" t="n">
        <v>44296</v>
      </c>
      <c r="C364" s="1" t="n">
        <v>45758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17210-2021</t>
        </is>
      </c>
      <c r="B365" s="1" t="n">
        <v>44297</v>
      </c>
      <c r="C365" s="1" t="n">
        <v>45758</v>
      </c>
      <c r="D365" t="inlineStr">
        <is>
          <t>SÖDERMANLANDS LÄN</t>
        </is>
      </c>
      <c r="E365" t="inlineStr">
        <is>
          <t>FLEN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17222-2021</t>
        </is>
      </c>
      <c r="B366" s="1" t="n">
        <v>44297</v>
      </c>
      <c r="C366" s="1" t="n">
        <v>45758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17183-2021</t>
        </is>
      </c>
      <c r="B367" s="1" t="n">
        <v>44297</v>
      </c>
      <c r="C367" s="1" t="n">
        <v>45758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17985-2021</t>
        </is>
      </c>
      <c r="B368" s="1" t="n">
        <v>44301</v>
      </c>
      <c r="C368" s="1" t="n">
        <v>45758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17987-2021</t>
        </is>
      </c>
      <c r="B369" s="1" t="n">
        <v>44301</v>
      </c>
      <c r="C369" s="1" t="n">
        <v>45758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18053-2021</t>
        </is>
      </c>
      <c r="B370" s="1" t="n">
        <v>44302</v>
      </c>
      <c r="C370" s="1" t="n">
        <v>45758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18192-2021</t>
        </is>
      </c>
      <c r="B371" s="1" t="n">
        <v>44302</v>
      </c>
      <c r="C371" s="1" t="n">
        <v>45758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18185-2021</t>
        </is>
      </c>
      <c r="B372" s="1" t="n">
        <v>44302</v>
      </c>
      <c r="C372" s="1" t="n">
        <v>45758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18180-2021</t>
        </is>
      </c>
      <c r="B373" s="1" t="n">
        <v>44302</v>
      </c>
      <c r="C373" s="1" t="n">
        <v>45758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19072-2021</t>
        </is>
      </c>
      <c r="B374" s="1" t="n">
        <v>44307</v>
      </c>
      <c r="C374" s="1" t="n">
        <v>45758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19387-2021</t>
        </is>
      </c>
      <c r="B375" s="1" t="n">
        <v>44309</v>
      </c>
      <c r="C375" s="1" t="n">
        <v>45758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22011-2021</t>
        </is>
      </c>
      <c r="B376" s="1" t="n">
        <v>44323</v>
      </c>
      <c r="C376" s="1" t="n">
        <v>45758</v>
      </c>
      <c r="D376" t="inlineStr">
        <is>
          <t>SÖDERMANLANDS LÄN</t>
        </is>
      </c>
      <c r="E376" t="inlineStr">
        <is>
          <t>FLEN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22015-2021</t>
        </is>
      </c>
      <c r="B377" s="1" t="n">
        <v>44323</v>
      </c>
      <c r="C377" s="1" t="n">
        <v>45758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22020-2021</t>
        </is>
      </c>
      <c r="B378" s="1" t="n">
        <v>44323</v>
      </c>
      <c r="C378" s="1" t="n">
        <v>45758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23004-2021</t>
        </is>
      </c>
      <c r="B379" s="1" t="n">
        <v>44328</v>
      </c>
      <c r="C379" s="1" t="n">
        <v>45758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26011-2021</t>
        </is>
      </c>
      <c r="B380" s="1" t="n">
        <v>44344</v>
      </c>
      <c r="C380" s="1" t="n">
        <v>45758</v>
      </c>
      <c r="D380" t="inlineStr">
        <is>
          <t>SÖDERMANLANDS LÄN</t>
        </is>
      </c>
      <c r="E380" t="inlineStr">
        <is>
          <t>FLEN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27190-2021</t>
        </is>
      </c>
      <c r="B381" s="1" t="n">
        <v>44350</v>
      </c>
      <c r="C381" s="1" t="n">
        <v>45758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27184-2021</t>
        </is>
      </c>
      <c r="B382" s="1" t="n">
        <v>44350</v>
      </c>
      <c r="C382" s="1" t="n">
        <v>45758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29002-2021</t>
        </is>
      </c>
      <c r="B383" s="1" t="n">
        <v>44358</v>
      </c>
      <c r="C383" s="1" t="n">
        <v>45758</v>
      </c>
      <c r="D383" t="inlineStr">
        <is>
          <t>SÖDERMANLANDS LÄN</t>
        </is>
      </c>
      <c r="E383" t="inlineStr">
        <is>
          <t>FLEN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29234-2021</t>
        </is>
      </c>
      <c r="B384" s="1" t="n">
        <v>44360</v>
      </c>
      <c r="C384" s="1" t="n">
        <v>45758</v>
      </c>
      <c r="D384" t="inlineStr">
        <is>
          <t>SÖDERMANLANDS LÄN</t>
        </is>
      </c>
      <c r="E384" t="inlineStr">
        <is>
          <t>FLEN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29239-2021</t>
        </is>
      </c>
      <c r="B385" s="1" t="n">
        <v>44360</v>
      </c>
      <c r="C385" s="1" t="n">
        <v>45758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29236-2021</t>
        </is>
      </c>
      <c r="B386" s="1" t="n">
        <v>44360</v>
      </c>
      <c r="C386" s="1" t="n">
        <v>45758</v>
      </c>
      <c r="D386" t="inlineStr">
        <is>
          <t>SÖDERMANLANDS LÄN</t>
        </is>
      </c>
      <c r="E386" t="inlineStr">
        <is>
          <t>FLEN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29233-2021</t>
        </is>
      </c>
      <c r="B387" s="1" t="n">
        <v>44360</v>
      </c>
      <c r="C387" s="1" t="n">
        <v>45758</v>
      </c>
      <c r="D387" t="inlineStr">
        <is>
          <t>SÖDERMANLANDS LÄN</t>
        </is>
      </c>
      <c r="E387" t="inlineStr">
        <is>
          <t>FLEN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30847-2021</t>
        </is>
      </c>
      <c r="B388" s="1" t="n">
        <v>44365</v>
      </c>
      <c r="C388" s="1" t="n">
        <v>45758</v>
      </c>
      <c r="D388" t="inlineStr">
        <is>
          <t>SÖDERMANLANDS LÄN</t>
        </is>
      </c>
      <c r="E388" t="inlineStr">
        <is>
          <t>FLEN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30830-2021</t>
        </is>
      </c>
      <c r="B389" s="1" t="n">
        <v>44365</v>
      </c>
      <c r="C389" s="1" t="n">
        <v>45758</v>
      </c>
      <c r="D389" t="inlineStr">
        <is>
          <t>SÖDERMANLANDS LÄN</t>
        </is>
      </c>
      <c r="E389" t="inlineStr">
        <is>
          <t>FLEN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31131-2021</t>
        </is>
      </c>
      <c r="B390" s="1" t="n">
        <v>44365</v>
      </c>
      <c r="C390" s="1" t="n">
        <v>45758</v>
      </c>
      <c r="D390" t="inlineStr">
        <is>
          <t>SÖDERMANLANDS LÄN</t>
        </is>
      </c>
      <c r="E390" t="inlineStr">
        <is>
          <t>FLEN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32416-2021</t>
        </is>
      </c>
      <c r="B391" s="1" t="n">
        <v>44371</v>
      </c>
      <c r="C391" s="1" t="n">
        <v>45758</v>
      </c>
      <c r="D391" t="inlineStr">
        <is>
          <t>SÖDERMANLANDS LÄN</t>
        </is>
      </c>
      <c r="E391" t="inlineStr">
        <is>
          <t>FLEN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34088-2021</t>
        </is>
      </c>
      <c r="B392" s="1" t="n">
        <v>44378</v>
      </c>
      <c r="C392" s="1" t="n">
        <v>45758</v>
      </c>
      <c r="D392" t="inlineStr">
        <is>
          <t>SÖDERMANLANDS LÄN</t>
        </is>
      </c>
      <c r="E392" t="inlineStr">
        <is>
          <t>FLEN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34003-2021</t>
        </is>
      </c>
      <c r="B393" s="1" t="n">
        <v>44378</v>
      </c>
      <c r="C393" s="1" t="n">
        <v>45758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34675-2021</t>
        </is>
      </c>
      <c r="B394" s="1" t="n">
        <v>44379</v>
      </c>
      <c r="C394" s="1" t="n">
        <v>45758</v>
      </c>
      <c r="D394" t="inlineStr">
        <is>
          <t>SÖDERMANLANDS LÄN</t>
        </is>
      </c>
      <c r="E394" t="inlineStr">
        <is>
          <t>FLEN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34448-2021</t>
        </is>
      </c>
      <c r="B395" s="1" t="n">
        <v>44381</v>
      </c>
      <c r="C395" s="1" t="n">
        <v>45758</v>
      </c>
      <c r="D395" t="inlineStr">
        <is>
          <t>SÖDERMANLANDS LÄN</t>
        </is>
      </c>
      <c r="E395" t="inlineStr">
        <is>
          <t>FLEN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34447-2021</t>
        </is>
      </c>
      <c r="B396" s="1" t="n">
        <v>44381</v>
      </c>
      <c r="C396" s="1" t="n">
        <v>45758</v>
      </c>
      <c r="D396" t="inlineStr">
        <is>
          <t>SÖDERMANLANDS LÄN</t>
        </is>
      </c>
      <c r="E396" t="inlineStr">
        <is>
          <t>FLEN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35250-2021</t>
        </is>
      </c>
      <c r="B397" s="1" t="n">
        <v>44384</v>
      </c>
      <c r="C397" s="1" t="n">
        <v>45758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35257-2021</t>
        </is>
      </c>
      <c r="B398" s="1" t="n">
        <v>44384</v>
      </c>
      <c r="C398" s="1" t="n">
        <v>45758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35649-2021</t>
        </is>
      </c>
      <c r="B399" s="1" t="n">
        <v>44384</v>
      </c>
      <c r="C399" s="1" t="n">
        <v>45758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35714-2021</t>
        </is>
      </c>
      <c r="B400" s="1" t="n">
        <v>44386</v>
      </c>
      <c r="C400" s="1" t="n">
        <v>45758</v>
      </c>
      <c r="D400" t="inlineStr">
        <is>
          <t>SÖDERMANLANDS LÄN</t>
        </is>
      </c>
      <c r="E400" t="inlineStr">
        <is>
          <t>FLEN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36595-2021</t>
        </is>
      </c>
      <c r="B401" s="1" t="n">
        <v>44391</v>
      </c>
      <c r="C401" s="1" t="n">
        <v>45758</v>
      </c>
      <c r="D401" t="inlineStr">
        <is>
          <t>SÖDERMANLANDS LÄN</t>
        </is>
      </c>
      <c r="E401" t="inlineStr">
        <is>
          <t>FLEN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37385-2021</t>
        </is>
      </c>
      <c r="B402" s="1" t="n">
        <v>44398</v>
      </c>
      <c r="C402" s="1" t="n">
        <v>45758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38008-2021</t>
        </is>
      </c>
      <c r="B403" s="1" t="n">
        <v>44404</v>
      </c>
      <c r="C403" s="1" t="n">
        <v>45758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38842-2021</t>
        </is>
      </c>
      <c r="B404" s="1" t="n">
        <v>44411</v>
      </c>
      <c r="C404" s="1" t="n">
        <v>45758</v>
      </c>
      <c r="D404" t="inlineStr">
        <is>
          <t>SÖDERMANLANDS LÄN</t>
        </is>
      </c>
      <c r="E404" t="inlineStr">
        <is>
          <t>FLEN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39188-2021</t>
        </is>
      </c>
      <c r="B405" s="1" t="n">
        <v>44413</v>
      </c>
      <c r="C405" s="1" t="n">
        <v>45758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39513-2021</t>
        </is>
      </c>
      <c r="B406" s="1" t="n">
        <v>44414</v>
      </c>
      <c r="C406" s="1" t="n">
        <v>45758</v>
      </c>
      <c r="D406" t="inlineStr">
        <is>
          <t>SÖDERMANLANDS LÄN</t>
        </is>
      </c>
      <c r="E406" t="inlineStr">
        <is>
          <t>FLEN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39518-2021</t>
        </is>
      </c>
      <c r="B407" s="1" t="n">
        <v>44414</v>
      </c>
      <c r="C407" s="1" t="n">
        <v>45758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40796-2021</t>
        </is>
      </c>
      <c r="B408" s="1" t="n">
        <v>44421</v>
      </c>
      <c r="C408" s="1" t="n">
        <v>45758</v>
      </c>
      <c r="D408" t="inlineStr">
        <is>
          <t>SÖDERMANLANDS LÄN</t>
        </is>
      </c>
      <c r="E408" t="inlineStr">
        <is>
          <t>FLEN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40961-2021</t>
        </is>
      </c>
      <c r="B409" s="1" t="n">
        <v>44421</v>
      </c>
      <c r="C409" s="1" t="n">
        <v>45758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41148-2021</t>
        </is>
      </c>
      <c r="B410" s="1" t="n">
        <v>44423</v>
      </c>
      <c r="C410" s="1" t="n">
        <v>45758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41150-2021</t>
        </is>
      </c>
      <c r="B411" s="1" t="n">
        <v>44423</v>
      </c>
      <c r="C411" s="1" t="n">
        <v>45758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41597-2021</t>
        </is>
      </c>
      <c r="B412" s="1" t="n">
        <v>44425</v>
      </c>
      <c r="C412" s="1" t="n">
        <v>45758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41640-2021</t>
        </is>
      </c>
      <c r="B413" s="1" t="n">
        <v>44425</v>
      </c>
      <c r="C413" s="1" t="n">
        <v>45758</v>
      </c>
      <c r="D413" t="inlineStr">
        <is>
          <t>SÖDERMANLANDS LÄN</t>
        </is>
      </c>
      <c r="E413" t="inlineStr">
        <is>
          <t>FLEN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41658-2021</t>
        </is>
      </c>
      <c r="B414" s="1" t="n">
        <v>44425</v>
      </c>
      <c r="C414" s="1" t="n">
        <v>45758</v>
      </c>
      <c r="D414" t="inlineStr">
        <is>
          <t>SÖDERMANLANDS LÄN</t>
        </is>
      </c>
      <c r="E414" t="inlineStr">
        <is>
          <t>FLEN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41638-2021</t>
        </is>
      </c>
      <c r="B415" s="1" t="n">
        <v>44425</v>
      </c>
      <c r="C415" s="1" t="n">
        <v>45758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41709-2021</t>
        </is>
      </c>
      <c r="B416" s="1" t="n">
        <v>44425</v>
      </c>
      <c r="C416" s="1" t="n">
        <v>45758</v>
      </c>
      <c r="D416" t="inlineStr">
        <is>
          <t>SÖDERMANLANDS LÄN</t>
        </is>
      </c>
      <c r="E416" t="inlineStr">
        <is>
          <t>FLEN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41800-2021</t>
        </is>
      </c>
      <c r="B417" s="1" t="n">
        <v>44425</v>
      </c>
      <c r="C417" s="1" t="n">
        <v>45758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41894-2021</t>
        </is>
      </c>
      <c r="B418" s="1" t="n">
        <v>44425</v>
      </c>
      <c r="C418" s="1" t="n">
        <v>45758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42936-2021</t>
        </is>
      </c>
      <c r="B419" s="1" t="n">
        <v>44431</v>
      </c>
      <c r="C419" s="1" t="n">
        <v>45758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43394-2021</t>
        </is>
      </c>
      <c r="B420" s="1" t="n">
        <v>44432</v>
      </c>
      <c r="C420" s="1" t="n">
        <v>45758</v>
      </c>
      <c r="D420" t="inlineStr">
        <is>
          <t>SÖDERMANLANDS LÄN</t>
        </is>
      </c>
      <c r="E420" t="inlineStr">
        <is>
          <t>FLEN</t>
        </is>
      </c>
      <c r="G420" t="n">
        <v>14.4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43450-2021</t>
        </is>
      </c>
      <c r="B421" s="1" t="n">
        <v>44432</v>
      </c>
      <c r="C421" s="1" t="n">
        <v>45758</v>
      </c>
      <c r="D421" t="inlineStr">
        <is>
          <t>SÖDERMANLANDS LÄN</t>
        </is>
      </c>
      <c r="E421" t="inlineStr">
        <is>
          <t>FLEN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43640-2021</t>
        </is>
      </c>
      <c r="B422" s="1" t="n">
        <v>44433</v>
      </c>
      <c r="C422" s="1" t="n">
        <v>45758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43541-2021</t>
        </is>
      </c>
      <c r="B423" s="1" t="n">
        <v>44433</v>
      </c>
      <c r="C423" s="1" t="n">
        <v>45758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44359-2021</t>
        </is>
      </c>
      <c r="B424" s="1" t="n">
        <v>44435</v>
      </c>
      <c r="C424" s="1" t="n">
        <v>45758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45120-2021</t>
        </is>
      </c>
      <c r="B425" s="1" t="n">
        <v>44439</v>
      </c>
      <c r="C425" s="1" t="n">
        <v>45758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45468-2021</t>
        </is>
      </c>
      <c r="B426" s="1" t="n">
        <v>44440</v>
      </c>
      <c r="C426" s="1" t="n">
        <v>45758</v>
      </c>
      <c r="D426" t="inlineStr">
        <is>
          <t>SÖDERMANLANDS LÄN</t>
        </is>
      </c>
      <c r="E426" t="inlineStr">
        <is>
          <t>FLEN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47609-2021</t>
        </is>
      </c>
      <c r="B427" s="1" t="n">
        <v>44448</v>
      </c>
      <c r="C427" s="1" t="n">
        <v>45758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47613-2021</t>
        </is>
      </c>
      <c r="B428" s="1" t="n">
        <v>44448</v>
      </c>
      <c r="C428" s="1" t="n">
        <v>45758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47644-2021</t>
        </is>
      </c>
      <c r="B429" s="1" t="n">
        <v>44448</v>
      </c>
      <c r="C429" s="1" t="n">
        <v>45758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47604-2021</t>
        </is>
      </c>
      <c r="B430" s="1" t="n">
        <v>44448</v>
      </c>
      <c r="C430" s="1" t="n">
        <v>45758</v>
      </c>
      <c r="D430" t="inlineStr">
        <is>
          <t>SÖDERMANLANDS LÄN</t>
        </is>
      </c>
      <c r="E430" t="inlineStr">
        <is>
          <t>FLEN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48166-2021</t>
        </is>
      </c>
      <c r="B431" s="1" t="n">
        <v>44449</v>
      </c>
      <c r="C431" s="1" t="n">
        <v>45758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48497-2021</t>
        </is>
      </c>
      <c r="B432" s="1" t="n">
        <v>44449</v>
      </c>
      <c r="C432" s="1" t="n">
        <v>45758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48298-2021</t>
        </is>
      </c>
      <c r="B433" s="1" t="n">
        <v>44450</v>
      </c>
      <c r="C433" s="1" t="n">
        <v>45758</v>
      </c>
      <c r="D433" t="inlineStr">
        <is>
          <t>SÖDERMANLANDS LÄN</t>
        </is>
      </c>
      <c r="E433" t="inlineStr">
        <is>
          <t>FLEN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48763-2021</t>
        </is>
      </c>
      <c r="B434" s="1" t="n">
        <v>44452</v>
      </c>
      <c r="C434" s="1" t="n">
        <v>45758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48925-2021</t>
        </is>
      </c>
      <c r="B435" s="1" t="n">
        <v>44452</v>
      </c>
      <c r="C435" s="1" t="n">
        <v>45758</v>
      </c>
      <c r="D435" t="inlineStr">
        <is>
          <t>SÖDERMANLANDS LÄN</t>
        </is>
      </c>
      <c r="E435" t="inlineStr">
        <is>
          <t>FLEN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49323-2021</t>
        </is>
      </c>
      <c r="B436" s="1" t="n">
        <v>44453</v>
      </c>
      <c r="C436" s="1" t="n">
        <v>45758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49275-2021</t>
        </is>
      </c>
      <c r="B437" s="1" t="n">
        <v>44453</v>
      </c>
      <c r="C437" s="1" t="n">
        <v>45758</v>
      </c>
      <c r="D437" t="inlineStr">
        <is>
          <t>SÖDERMANLANDS LÄN</t>
        </is>
      </c>
      <c r="E437" t="inlineStr">
        <is>
          <t>FLEN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49252-2021</t>
        </is>
      </c>
      <c r="B438" s="1" t="n">
        <v>44454</v>
      </c>
      <c r="C438" s="1" t="n">
        <v>45758</v>
      </c>
      <c r="D438" t="inlineStr">
        <is>
          <t>SÖDERMANLANDS LÄN</t>
        </is>
      </c>
      <c r="E438" t="inlineStr">
        <is>
          <t>FLEN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49255-2021</t>
        </is>
      </c>
      <c r="B439" s="1" t="n">
        <v>44454</v>
      </c>
      <c r="C439" s="1" t="n">
        <v>45758</v>
      </c>
      <c r="D439" t="inlineStr">
        <is>
          <t>SÖDERMANLANDS LÄN</t>
        </is>
      </c>
      <c r="E439" t="inlineStr">
        <is>
          <t>FLEN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49569-2021</t>
        </is>
      </c>
      <c r="B440" s="1" t="n">
        <v>44455</v>
      </c>
      <c r="C440" s="1" t="n">
        <v>45758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50494-2021</t>
        </is>
      </c>
      <c r="B441" s="1" t="n">
        <v>44458</v>
      </c>
      <c r="C441" s="1" t="n">
        <v>45758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50500-2021</t>
        </is>
      </c>
      <c r="B442" s="1" t="n">
        <v>44458</v>
      </c>
      <c r="C442" s="1" t="n">
        <v>45758</v>
      </c>
      <c r="D442" t="inlineStr">
        <is>
          <t>SÖDERMANLANDS LÄN</t>
        </is>
      </c>
      <c r="E442" t="inlineStr">
        <is>
          <t>FLEN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50301-2021</t>
        </is>
      </c>
      <c r="B443" s="1" t="n">
        <v>44459</v>
      </c>
      <c r="C443" s="1" t="n">
        <v>45758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50799-2021</t>
        </is>
      </c>
      <c r="B444" s="1" t="n">
        <v>44459</v>
      </c>
      <c r="C444" s="1" t="n">
        <v>45758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50796-2021</t>
        </is>
      </c>
      <c r="B445" s="1" t="n">
        <v>44459</v>
      </c>
      <c r="C445" s="1" t="n">
        <v>45758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52541-2021</t>
        </is>
      </c>
      <c r="B446" s="1" t="n">
        <v>44463</v>
      </c>
      <c r="C446" s="1" t="n">
        <v>45758</v>
      </c>
      <c r="D446" t="inlineStr">
        <is>
          <t>SÖDERMANLANDS LÄN</t>
        </is>
      </c>
      <c r="E446" t="inlineStr">
        <is>
          <t>FLEN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52519-2021</t>
        </is>
      </c>
      <c r="B447" s="1" t="n">
        <v>44463</v>
      </c>
      <c r="C447" s="1" t="n">
        <v>45758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52563-2021</t>
        </is>
      </c>
      <c r="B448" s="1" t="n">
        <v>44463</v>
      </c>
      <c r="C448" s="1" t="n">
        <v>45758</v>
      </c>
      <c r="D448" t="inlineStr">
        <is>
          <t>SÖDERMANLANDS LÄN</t>
        </is>
      </c>
      <c r="E448" t="inlineStr">
        <is>
          <t>FLEN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52500-2021</t>
        </is>
      </c>
      <c r="B449" s="1" t="n">
        <v>44463</v>
      </c>
      <c r="C449" s="1" t="n">
        <v>45758</v>
      </c>
      <c r="D449" t="inlineStr">
        <is>
          <t>SÖDERMANLANDS LÄN</t>
        </is>
      </c>
      <c r="E449" t="inlineStr">
        <is>
          <t>FLEN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52546-2021</t>
        </is>
      </c>
      <c r="B450" s="1" t="n">
        <v>44463</v>
      </c>
      <c r="C450" s="1" t="n">
        <v>45758</v>
      </c>
      <c r="D450" t="inlineStr">
        <is>
          <t>SÖDERMANLANDS LÄN</t>
        </is>
      </c>
      <c r="E450" t="inlineStr">
        <is>
          <t>FLEN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52534-2021</t>
        </is>
      </c>
      <c r="B451" s="1" t="n">
        <v>44463</v>
      </c>
      <c r="C451" s="1" t="n">
        <v>45758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52692-2021</t>
        </is>
      </c>
      <c r="B452" s="1" t="n">
        <v>44466</v>
      </c>
      <c r="C452" s="1" t="n">
        <v>45758</v>
      </c>
      <c r="D452" t="inlineStr">
        <is>
          <t>SÖDERMANLANDS LÄN</t>
        </is>
      </c>
      <c r="E452" t="inlineStr">
        <is>
          <t>FLEN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53608-2021</t>
        </is>
      </c>
      <c r="B453" s="1" t="n">
        <v>44469</v>
      </c>
      <c r="C453" s="1" t="n">
        <v>45758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53930-2021</t>
        </is>
      </c>
      <c r="B454" s="1" t="n">
        <v>44469</v>
      </c>
      <c r="C454" s="1" t="n">
        <v>45758</v>
      </c>
      <c r="D454" t="inlineStr">
        <is>
          <t>SÖDERMANLANDS LÄN</t>
        </is>
      </c>
      <c r="E454" t="inlineStr">
        <is>
          <t>FLEN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54179-2021</t>
        </is>
      </c>
      <c r="B455" s="1" t="n">
        <v>44470</v>
      </c>
      <c r="C455" s="1" t="n">
        <v>45758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54325-2021</t>
        </is>
      </c>
      <c r="B456" s="1" t="n">
        <v>44472</v>
      </c>
      <c r="C456" s="1" t="n">
        <v>45758</v>
      </c>
      <c r="D456" t="inlineStr">
        <is>
          <t>SÖDERMANLANDS LÄN</t>
        </is>
      </c>
      <c r="E456" t="inlineStr">
        <is>
          <t>FLEN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54645-2021</t>
        </is>
      </c>
      <c r="B457" s="1" t="n">
        <v>44473</v>
      </c>
      <c r="C457" s="1" t="n">
        <v>45758</v>
      </c>
      <c r="D457" t="inlineStr">
        <is>
          <t>SÖDERMANLANDS LÄN</t>
        </is>
      </c>
      <c r="E457" t="inlineStr">
        <is>
          <t>FLEN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54666-2021</t>
        </is>
      </c>
      <c r="B458" s="1" t="n">
        <v>44473</v>
      </c>
      <c r="C458" s="1" t="n">
        <v>45758</v>
      </c>
      <c r="D458" t="inlineStr">
        <is>
          <t>SÖDERMANLANDS LÄN</t>
        </is>
      </c>
      <c r="E458" t="inlineStr">
        <is>
          <t>FLEN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57753-2021</t>
        </is>
      </c>
      <c r="B459" s="1" t="n">
        <v>44484</v>
      </c>
      <c r="C459" s="1" t="n">
        <v>45758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58299-2021</t>
        </is>
      </c>
      <c r="B460" s="1" t="n">
        <v>44487</v>
      </c>
      <c r="C460" s="1" t="n">
        <v>45758</v>
      </c>
      <c r="D460" t="inlineStr">
        <is>
          <t>SÖDERMANLANDS LÄN</t>
        </is>
      </c>
      <c r="E460" t="inlineStr">
        <is>
          <t>FLEN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59405-2021</t>
        </is>
      </c>
      <c r="B461" s="1" t="n">
        <v>44490</v>
      </c>
      <c r="C461" s="1" t="n">
        <v>45758</v>
      </c>
      <c r="D461" t="inlineStr">
        <is>
          <t>SÖDERMANLANDS LÄN</t>
        </is>
      </c>
      <c r="E461" t="inlineStr">
        <is>
          <t>FLEN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60069-2021</t>
        </is>
      </c>
      <c r="B462" s="1" t="n">
        <v>44495</v>
      </c>
      <c r="C462" s="1" t="n">
        <v>45758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60077-2021</t>
        </is>
      </c>
      <c r="B463" s="1" t="n">
        <v>44495</v>
      </c>
      <c r="C463" s="1" t="n">
        <v>45758</v>
      </c>
      <c r="D463" t="inlineStr">
        <is>
          <t>SÖDERMANLANDS LÄN</t>
        </is>
      </c>
      <c r="E463" t="inlineStr">
        <is>
          <t>FLEN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60255-2021</t>
        </is>
      </c>
      <c r="B464" s="1" t="n">
        <v>44495</v>
      </c>
      <c r="C464" s="1" t="n">
        <v>45758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60562-2021</t>
        </is>
      </c>
      <c r="B465" s="1" t="n">
        <v>44495</v>
      </c>
      <c r="C465" s="1" t="n">
        <v>45758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62223-2021</t>
        </is>
      </c>
      <c r="B466" s="1" t="n">
        <v>44501</v>
      </c>
      <c r="C466" s="1" t="n">
        <v>45758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63444-2021</t>
        </is>
      </c>
      <c r="B467" s="1" t="n">
        <v>44508</v>
      </c>
      <c r="C467" s="1" t="n">
        <v>45758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64060-2021</t>
        </is>
      </c>
      <c r="B468" s="1" t="n">
        <v>44508</v>
      </c>
      <c r="C468" s="1" t="n">
        <v>45758</v>
      </c>
      <c r="D468" t="inlineStr">
        <is>
          <t>SÖDERMANLANDS LÄN</t>
        </is>
      </c>
      <c r="E468" t="inlineStr">
        <is>
          <t>FLEN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64330-2021</t>
        </is>
      </c>
      <c r="B469" s="1" t="n">
        <v>44511</v>
      </c>
      <c r="C469" s="1" t="n">
        <v>45758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65869-2021</t>
        </is>
      </c>
      <c r="B470" s="1" t="n">
        <v>44517</v>
      </c>
      <c r="C470" s="1" t="n">
        <v>45758</v>
      </c>
      <c r="D470" t="inlineStr">
        <is>
          <t>SÖDERMANLANDS LÄN</t>
        </is>
      </c>
      <c r="E470" t="inlineStr">
        <is>
          <t>FLEN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66230-2021</t>
        </is>
      </c>
      <c r="B471" s="1" t="n">
        <v>44518</v>
      </c>
      <c r="C471" s="1" t="n">
        <v>45758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66334-2021</t>
        </is>
      </c>
      <c r="B472" s="1" t="n">
        <v>44518</v>
      </c>
      <c r="C472" s="1" t="n">
        <v>45758</v>
      </c>
      <c r="D472" t="inlineStr">
        <is>
          <t>SÖDERMANLANDS LÄN</t>
        </is>
      </c>
      <c r="E472" t="inlineStr">
        <is>
          <t>FLEN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66337-2021</t>
        </is>
      </c>
      <c r="B473" s="1" t="n">
        <v>44518</v>
      </c>
      <c r="C473" s="1" t="n">
        <v>45758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66867-2021</t>
        </is>
      </c>
      <c r="B474" s="1" t="n">
        <v>44522</v>
      </c>
      <c r="C474" s="1" t="n">
        <v>45758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66979-2021</t>
        </is>
      </c>
      <c r="B475" s="1" t="n">
        <v>44522</v>
      </c>
      <c r="C475" s="1" t="n">
        <v>45758</v>
      </c>
      <c r="D475" t="inlineStr">
        <is>
          <t>SÖDERMANLANDS LÄN</t>
        </is>
      </c>
      <c r="E475" t="inlineStr">
        <is>
          <t>FLEN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67464-2021</t>
        </is>
      </c>
      <c r="B476" s="1" t="n">
        <v>44524</v>
      </c>
      <c r="C476" s="1" t="n">
        <v>45758</v>
      </c>
      <c r="D476" t="inlineStr">
        <is>
          <t>SÖDERMANLANDS LÄN</t>
        </is>
      </c>
      <c r="E476" t="inlineStr">
        <is>
          <t>FLEN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69588-2021</t>
        </is>
      </c>
      <c r="B477" s="1" t="n">
        <v>44531</v>
      </c>
      <c r="C477" s="1" t="n">
        <v>45758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70215-2021</t>
        </is>
      </c>
      <c r="B478" s="1" t="n">
        <v>44535</v>
      </c>
      <c r="C478" s="1" t="n">
        <v>45758</v>
      </c>
      <c r="D478" t="inlineStr">
        <is>
          <t>SÖDERMANLANDS LÄN</t>
        </is>
      </c>
      <c r="E478" t="inlineStr">
        <is>
          <t>FLEN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70701-2021</t>
        </is>
      </c>
      <c r="B479" s="1" t="n">
        <v>44536</v>
      </c>
      <c r="C479" s="1" t="n">
        <v>45758</v>
      </c>
      <c r="D479" t="inlineStr">
        <is>
          <t>SÖDERMANLANDS LÄN</t>
        </is>
      </c>
      <c r="E479" t="inlineStr">
        <is>
          <t>FLEN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72314-2021</t>
        </is>
      </c>
      <c r="B480" s="1" t="n">
        <v>44544</v>
      </c>
      <c r="C480" s="1" t="n">
        <v>45758</v>
      </c>
      <c r="D480" t="inlineStr">
        <is>
          <t>SÖDERMANLANDS LÄN</t>
        </is>
      </c>
      <c r="E480" t="inlineStr">
        <is>
          <t>FLEN</t>
        </is>
      </c>
      <c r="G480" t="n">
        <v>13.8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73919-2021</t>
        </is>
      </c>
      <c r="B481" s="1" t="n">
        <v>44553</v>
      </c>
      <c r="C481" s="1" t="n">
        <v>45758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476-2022</t>
        </is>
      </c>
      <c r="B482" s="1" t="n">
        <v>44566</v>
      </c>
      <c r="C482" s="1" t="n">
        <v>45758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550-2022</t>
        </is>
      </c>
      <c r="B483" s="1" t="n">
        <v>44566</v>
      </c>
      <c r="C483" s="1" t="n">
        <v>45758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985-2022</t>
        </is>
      </c>
      <c r="B484" s="1" t="n">
        <v>44571</v>
      </c>
      <c r="C484" s="1" t="n">
        <v>45758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1242-2022</t>
        </is>
      </c>
      <c r="B485" s="1" t="n">
        <v>44572</v>
      </c>
      <c r="C485" s="1" t="n">
        <v>45758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2204-2022</t>
        </is>
      </c>
      <c r="B486" s="1" t="n">
        <v>44578</v>
      </c>
      <c r="C486" s="1" t="n">
        <v>45758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2162-2022</t>
        </is>
      </c>
      <c r="B487" s="1" t="n">
        <v>44578</v>
      </c>
      <c r="C487" s="1" t="n">
        <v>45758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2496-2022</t>
        </is>
      </c>
      <c r="B488" s="1" t="n">
        <v>44579</v>
      </c>
      <c r="C488" s="1" t="n">
        <v>45758</v>
      </c>
      <c r="D488" t="inlineStr">
        <is>
          <t>SÖDERMANLANDS LÄN</t>
        </is>
      </c>
      <c r="E488" t="inlineStr">
        <is>
          <t>FLEN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2734-2022</t>
        </is>
      </c>
      <c r="B489" s="1" t="n">
        <v>44580</v>
      </c>
      <c r="C489" s="1" t="n">
        <v>45758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2738-2022</t>
        </is>
      </c>
      <c r="B490" s="1" t="n">
        <v>44580</v>
      </c>
      <c r="C490" s="1" t="n">
        <v>45758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4065-2022</t>
        </is>
      </c>
      <c r="B491" s="1" t="n">
        <v>44588</v>
      </c>
      <c r="C491" s="1" t="n">
        <v>45758</v>
      </c>
      <c r="D491" t="inlineStr">
        <is>
          <t>SÖDERMANLANDS LÄN</t>
        </is>
      </c>
      <c r="E491" t="inlineStr">
        <is>
          <t>FLEN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4216-2022</t>
        </is>
      </c>
      <c r="B492" s="1" t="n">
        <v>44588</v>
      </c>
      <c r="C492" s="1" t="n">
        <v>45758</v>
      </c>
      <c r="D492" t="inlineStr">
        <is>
          <t>SÖDERMANLANDS LÄN</t>
        </is>
      </c>
      <c r="E492" t="inlineStr">
        <is>
          <t>FLEN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5260-2022</t>
        </is>
      </c>
      <c r="B493" s="1" t="n">
        <v>44594</v>
      </c>
      <c r="C493" s="1" t="n">
        <v>45758</v>
      </c>
      <c r="D493" t="inlineStr">
        <is>
          <t>SÖDERMANLANDS LÄN</t>
        </is>
      </c>
      <c r="E493" t="inlineStr">
        <is>
          <t>FLEN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5859-2022</t>
        </is>
      </c>
      <c r="B494" s="1" t="n">
        <v>44596</v>
      </c>
      <c r="C494" s="1" t="n">
        <v>45758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5852-2022</t>
        </is>
      </c>
      <c r="B495" s="1" t="n">
        <v>44596</v>
      </c>
      <c r="C495" s="1" t="n">
        <v>45758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6725-2022</t>
        </is>
      </c>
      <c r="B496" s="1" t="n">
        <v>44602</v>
      </c>
      <c r="C496" s="1" t="n">
        <v>45758</v>
      </c>
      <c r="D496" t="inlineStr">
        <is>
          <t>SÖDERMANLANDS LÄN</t>
        </is>
      </c>
      <c r="E496" t="inlineStr">
        <is>
          <t>FLEN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7170-2022</t>
        </is>
      </c>
      <c r="B497" s="1" t="n">
        <v>44604</v>
      </c>
      <c r="C497" s="1" t="n">
        <v>45758</v>
      </c>
      <c r="D497" t="inlineStr">
        <is>
          <t>SÖDERMANLANDS LÄN</t>
        </is>
      </c>
      <c r="E497" t="inlineStr">
        <is>
          <t>FLEN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7242-2022</t>
        </is>
      </c>
      <c r="B498" s="1" t="n">
        <v>44606</v>
      </c>
      <c r="C498" s="1" t="n">
        <v>45758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7863-2022</t>
        </is>
      </c>
      <c r="B499" s="1" t="n">
        <v>44608</v>
      </c>
      <c r="C499" s="1" t="n">
        <v>45758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8301-2022</t>
        </is>
      </c>
      <c r="B500" s="1" t="n">
        <v>44610</v>
      </c>
      <c r="C500" s="1" t="n">
        <v>45758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8293-2022</t>
        </is>
      </c>
      <c r="B501" s="1" t="n">
        <v>44610</v>
      </c>
      <c r="C501" s="1" t="n">
        <v>45758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8793-2022</t>
        </is>
      </c>
      <c r="B502" s="1" t="n">
        <v>44614</v>
      </c>
      <c r="C502" s="1" t="n">
        <v>45758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8903-2022</t>
        </is>
      </c>
      <c r="B503" s="1" t="n">
        <v>44614</v>
      </c>
      <c r="C503" s="1" t="n">
        <v>45758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8990-2022</t>
        </is>
      </c>
      <c r="B504" s="1" t="n">
        <v>44614</v>
      </c>
      <c r="C504" s="1" t="n">
        <v>45758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9431-2022</t>
        </is>
      </c>
      <c r="B505" s="1" t="n">
        <v>44616</v>
      </c>
      <c r="C505" s="1" t="n">
        <v>45758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10738-2022</t>
        </is>
      </c>
      <c r="B506" s="1" t="n">
        <v>44624</v>
      </c>
      <c r="C506" s="1" t="n">
        <v>45758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10771-2022</t>
        </is>
      </c>
      <c r="B507" s="1" t="n">
        <v>44624</v>
      </c>
      <c r="C507" s="1" t="n">
        <v>45758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10828-2022</t>
        </is>
      </c>
      <c r="B508" s="1" t="n">
        <v>44624</v>
      </c>
      <c r="C508" s="1" t="n">
        <v>45758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10827-2022</t>
        </is>
      </c>
      <c r="B509" s="1" t="n">
        <v>44624</v>
      </c>
      <c r="C509" s="1" t="n">
        <v>45758</v>
      </c>
      <c r="D509" t="inlineStr">
        <is>
          <t>SÖDERMANLANDS LÄN</t>
        </is>
      </c>
      <c r="E509" t="inlineStr">
        <is>
          <t>FLEN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10745-2022</t>
        </is>
      </c>
      <c r="B510" s="1" t="n">
        <v>44624</v>
      </c>
      <c r="C510" s="1" t="n">
        <v>45758</v>
      </c>
      <c r="D510" t="inlineStr">
        <is>
          <t>SÖDERMANLANDS LÄN</t>
        </is>
      </c>
      <c r="E510" t="inlineStr">
        <is>
          <t>FLEN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12172-2022</t>
        </is>
      </c>
      <c r="B511" s="1" t="n">
        <v>44636</v>
      </c>
      <c r="C511" s="1" t="n">
        <v>45758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12116-2022</t>
        </is>
      </c>
      <c r="B512" s="1" t="n">
        <v>44636</v>
      </c>
      <c r="C512" s="1" t="n">
        <v>45758</v>
      </c>
      <c r="D512" t="inlineStr">
        <is>
          <t>SÖDERMANLANDS LÄN</t>
        </is>
      </c>
      <c r="E512" t="inlineStr">
        <is>
          <t>FLEN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12171-2022</t>
        </is>
      </c>
      <c r="B513" s="1" t="n">
        <v>44636</v>
      </c>
      <c r="C513" s="1" t="n">
        <v>45758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12174-2022</t>
        </is>
      </c>
      <c r="B514" s="1" t="n">
        <v>44636</v>
      </c>
      <c r="C514" s="1" t="n">
        <v>45758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12306-2022</t>
        </is>
      </c>
      <c r="B515" s="1" t="n">
        <v>44637</v>
      </c>
      <c r="C515" s="1" t="n">
        <v>45758</v>
      </c>
      <c r="D515" t="inlineStr">
        <is>
          <t>SÖDERMANLANDS LÄN</t>
        </is>
      </c>
      <c r="E515" t="inlineStr">
        <is>
          <t>FLEN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45758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45758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45758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45758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45758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45758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45758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45758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45758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45758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45758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45758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45758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45758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45758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45758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45758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45758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45758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45758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45758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45758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45758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45758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45758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45758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45758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45758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45758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45758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45758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45758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45758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45758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45758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45758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45758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45758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45758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45758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45758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45758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45758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45758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45758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45758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45758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45758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45758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45758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45758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45758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45758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45758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45758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45758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45758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45758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45758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45758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45758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45758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45758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45758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45758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45758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45758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45758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45758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45758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45758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45758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45758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45758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45758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45758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45758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45758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45758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45758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45758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45758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45758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45758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45758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45758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45758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45758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45758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45758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45758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45758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45758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45758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45758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45758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45758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45758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45758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45758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45758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45758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45758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45758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45758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45758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45758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45758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45758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45758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45758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45758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45758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45758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45758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45758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45758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45758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45758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45758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45758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45758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45758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45758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45758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45758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45758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45758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45758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45758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45758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45758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45758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45758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45758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45758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45758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45758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45758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45758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45758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45758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45758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45758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45758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45758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45758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45758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45758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45758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45758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45758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45758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45758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45758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45758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45758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45758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45758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45758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45758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45758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45758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45758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45758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45758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45758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45758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45758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45758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45758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45758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45758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45758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45758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45758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45758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45758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45758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45758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45758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45758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45758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45758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45758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45758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45758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45758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45758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45758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45758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45758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45758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45758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45758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45758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45758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45758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45758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45758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45758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45758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45758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45758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45758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45758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45758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45758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45758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45758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45758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45758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45758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45758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45758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45758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45758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45758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45758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45758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45758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45758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45758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45758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45758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45758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45758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45758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45758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45758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45758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45758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45758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45758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45758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45758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45758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45758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45758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45758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45758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45758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45758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45758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45758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45758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45758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45758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45758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45758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45758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45758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45758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45758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45758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45758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45758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45758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45758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45758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45758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45758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45758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45758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45758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45758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45758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45758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45758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45758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45758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45758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45758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45758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45758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45758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45758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45758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45758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45758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45758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45758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45758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45758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45758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45758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45758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45758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45758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45758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45758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45758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45758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45758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45758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45758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45758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45758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45758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45758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45758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45758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45758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45758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45758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45758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45758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45758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45758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45758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45758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45758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45758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45758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45758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45758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45758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45758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45758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45758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45758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45758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45758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45758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45758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45758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45758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45758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45758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45758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45758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45758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45758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45758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45758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45758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45758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45758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45758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45758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45758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45758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45758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45758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45758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45758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45758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45758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45758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45758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45758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45758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45758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45758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45758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45758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45758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45758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45758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45758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45758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45758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45758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45758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45758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45758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45758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45758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45758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45758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45758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45758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45758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45758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45758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45758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45758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45758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45758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45758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45758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45758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45758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45758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45758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45758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45758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45758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45758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45758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45758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45758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45758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45758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45758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45758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45758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45758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45758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45758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45758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45758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45758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45758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45758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45758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45758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45758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45758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45758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45758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45758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45758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45758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45758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45758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45758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45758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45758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45758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45758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45758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45758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45758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45758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45758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45758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45758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45758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45758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45758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45758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45758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45758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45758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45758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45758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45758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45758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45758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45758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45758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45758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45758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45758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45758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45758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45758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45758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45758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45758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45758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45758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45758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45758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45758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45758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45758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45758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45758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45758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45758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45758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45758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45758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45758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45758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45758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45758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45758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45758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45758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45758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45758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45758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45758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45758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45758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45758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45758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45758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45758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45758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45758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45758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45758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45758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45758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45758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45758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45758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45758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45758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45758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45758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45758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45758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45758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45758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45758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45758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45758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45758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45758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45758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45758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45758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45758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45758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45758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45758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45758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45758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45758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45758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45758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45758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45758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45758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45758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45758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45758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45758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45758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45758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45758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45758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45758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45758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45758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45758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45758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45758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45758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45758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45758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45758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45758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45758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45758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45758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45758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45758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45758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45758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45758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45758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45758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45758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45758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45758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45758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45758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45758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45758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45758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45758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45758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45758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45758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45758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45758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45758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45758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45758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45758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45758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45758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45758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45758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45758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45758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45758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45758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45758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45758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45758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45758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45758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45758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45758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45758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45758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45758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45758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45758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45758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45758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45758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45758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45758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45758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45758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45758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45758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45758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45758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45758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45758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45758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45758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45758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45758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45758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45758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45758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45758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45758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45758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45758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45758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45758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45758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45758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45758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45758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45758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45758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45758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45758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45758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45758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45758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45758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45758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45758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45758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45758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45758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45758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45758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45758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14117-2025</t>
        </is>
      </c>
      <c r="B1148" s="1" t="n">
        <v>45740</v>
      </c>
      <c r="C1148" s="1" t="n">
        <v>45758</v>
      </c>
      <c r="D1148" t="inlineStr">
        <is>
          <t>SÖDERMANLANDS LÄN</t>
        </is>
      </c>
      <c r="E1148" t="inlineStr">
        <is>
          <t>FLEN</t>
        </is>
      </c>
      <c r="F1148" t="inlineStr">
        <is>
          <t>Övriga statliga verk och myndigheter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14040-2025</t>
        </is>
      </c>
      <c r="B1149" s="1" t="n">
        <v>45740</v>
      </c>
      <c r="C1149" s="1" t="n">
        <v>45758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45758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45758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45758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16938-2025</t>
        </is>
      </c>
      <c r="B1153" s="1" t="n">
        <v>45755</v>
      </c>
      <c r="C1153" s="1" t="n">
        <v>45758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2025-04-11T16:36:32Z</dcterms:created>
  <dcterms:modified xmlns:dcterms="http://purl.org/dc/terms/" xmlns:xsi="http://www.w3.org/2001/XMLSchema-instance" xsi:type="dcterms:W3CDTF">2025-04-11T16:36:33Z</dcterms:modified>
</cp:coreProperties>
</file>